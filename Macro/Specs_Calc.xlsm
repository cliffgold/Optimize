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7cd0e7a053322a97/Documents/GenAtomic/Optimize/Macro/"/>
    </mc:Choice>
  </mc:AlternateContent>
  <xr:revisionPtr revIDLastSave="112" documentId="8_{72079776-2E72-4FFF-AC75-0FA475FC8A06}" xr6:coauthVersionLast="47" xr6:coauthVersionMax="47" xr10:uidLastSave="{0CCA3817-E425-4D9E-8D75-CC830392BFF1}"/>
  <bookViews>
    <workbookView xWindow="-90" yWindow="-90" windowWidth="16637" windowHeight="9437" activeTab="1" xr2:uid="{F91461E2-FB72-4D14-B8AA-D28F86C5E544}"/>
  </bookViews>
  <sheets>
    <sheet name="Calc" sheetId="2" r:id="rId1"/>
    <sheet name="CSV" sheetId="3" r:id="rId2"/>
    <sheet name="Cost Perf 2025" sheetId="5" r:id="rId3"/>
    <sheet name="LCOE_LCOS" sheetId="4" r:id="rId4"/>
    <sheet name="LCOE_2023" sheetId="10" r:id="rId5"/>
    <sheet name="NREL CO2e" sheetId="6" r:id="rId6"/>
    <sheet name="Lifetimes" sheetId="7" r:id="rId7"/>
    <sheet name="Total GW EIA" sheetId="8" r:id="rId8"/>
    <sheet name="Build Rate" sheetId="9" r:id="rId9"/>
  </sheets>
  <definedNames>
    <definedName name="BESS_kW">'Cost Perf 2025'!$F$22</definedName>
    <definedName name="Billion">Calc!$J$10</definedName>
    <definedName name="Build_Corner">'Build Rate'!$B$5</definedName>
    <definedName name="CO2e_Corner">'NREL CO2e'!$C$6</definedName>
    <definedName name="CostPerfCorner">'Cost Perf 2025'!$B$4</definedName>
    <definedName name="CSV_Range">CSV!$A$1:$G$10</definedName>
    <definedName name="LCOE_2023_Corner">LCOE_2023!$B$6</definedName>
    <definedName name="LCOE_LCOS_Corner">LCOE_LCOS!$B$7</definedName>
    <definedName name="Million">Calc!$J$9</definedName>
    <definedName name="Thousand">Calc!$J$8</definedName>
    <definedName name="Trillion">Calc!$J$11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 l="1"/>
  <c r="F5" i="9"/>
  <c r="O4" i="9"/>
  <c r="G4" i="2"/>
  <c r="B30" i="2"/>
  <c r="G9" i="3" s="1"/>
  <c r="G10" i="3"/>
  <c r="C9" i="2"/>
  <c r="D9" i="2"/>
  <c r="E9" i="2"/>
  <c r="F9" i="2"/>
  <c r="G9" i="2"/>
  <c r="B9" i="2"/>
  <c r="F14" i="2"/>
  <c r="F5" i="3" s="1"/>
  <c r="F10" i="2"/>
  <c r="F7" i="2"/>
  <c r="F15" i="2" l="1"/>
  <c r="C10" i="2"/>
  <c r="C11" i="2" s="1"/>
  <c r="C12" i="2" s="1"/>
  <c r="C13" i="2" s="1"/>
  <c r="D10" i="2"/>
  <c r="D11" i="2" s="1"/>
  <c r="D12" i="2" s="1"/>
  <c r="D13" i="2" s="1"/>
  <c r="E10" i="2"/>
  <c r="E11" i="2" s="1"/>
  <c r="E12" i="2" s="1"/>
  <c r="E13" i="2" s="1"/>
  <c r="F11" i="2"/>
  <c r="G10" i="2"/>
  <c r="G11" i="2" s="1"/>
  <c r="G12" i="2" s="1"/>
  <c r="G13" i="2" s="1"/>
  <c r="P80" i="9"/>
  <c r="O80" i="9"/>
  <c r="N80" i="9"/>
  <c r="M80" i="9"/>
  <c r="L80" i="9"/>
  <c r="K80" i="9"/>
  <c r="J80" i="9"/>
  <c r="I80" i="9"/>
  <c r="H80" i="9"/>
  <c r="G80" i="9"/>
  <c r="F80" i="9"/>
  <c r="E80" i="9"/>
  <c r="D80" i="9"/>
  <c r="C80" i="9"/>
  <c r="B80" i="9"/>
  <c r="P79" i="9"/>
  <c r="O79" i="9"/>
  <c r="N79" i="9"/>
  <c r="M79" i="9"/>
  <c r="L79" i="9"/>
  <c r="K79" i="9"/>
  <c r="J79" i="9"/>
  <c r="I79" i="9"/>
  <c r="H79" i="9"/>
  <c r="G79" i="9"/>
  <c r="F79" i="9"/>
  <c r="E79" i="9"/>
  <c r="D79" i="9"/>
  <c r="C79" i="9"/>
  <c r="B79" i="9"/>
  <c r="P78" i="9"/>
  <c r="O78" i="9"/>
  <c r="N78" i="9"/>
  <c r="M78" i="9"/>
  <c r="L78" i="9"/>
  <c r="K78" i="9"/>
  <c r="J78" i="9"/>
  <c r="I78" i="9"/>
  <c r="H78" i="9"/>
  <c r="G78" i="9"/>
  <c r="F78" i="9"/>
  <c r="E78" i="9"/>
  <c r="D78" i="9"/>
  <c r="C78" i="9"/>
  <c r="B78" i="9"/>
  <c r="P77" i="9"/>
  <c r="O77" i="9"/>
  <c r="N77" i="9"/>
  <c r="M77" i="9"/>
  <c r="L77" i="9"/>
  <c r="K77" i="9"/>
  <c r="J77" i="9"/>
  <c r="I77" i="9"/>
  <c r="H77" i="9"/>
  <c r="G77" i="9"/>
  <c r="F77" i="9"/>
  <c r="E77" i="9"/>
  <c r="D77" i="9"/>
  <c r="C77" i="9"/>
  <c r="B77" i="9"/>
  <c r="P76" i="9"/>
  <c r="O76" i="9"/>
  <c r="N76" i="9"/>
  <c r="M76" i="9"/>
  <c r="L76" i="9"/>
  <c r="K76" i="9"/>
  <c r="J76" i="9"/>
  <c r="I76" i="9"/>
  <c r="H76" i="9"/>
  <c r="G76" i="9"/>
  <c r="F76" i="9"/>
  <c r="E76" i="9"/>
  <c r="D76" i="9"/>
  <c r="C76" i="9"/>
  <c r="B76" i="9"/>
  <c r="P75" i="9"/>
  <c r="O75" i="9"/>
  <c r="N75" i="9"/>
  <c r="M75" i="9"/>
  <c r="L75" i="9"/>
  <c r="K75" i="9"/>
  <c r="J75" i="9"/>
  <c r="I75" i="9"/>
  <c r="H75" i="9"/>
  <c r="G75" i="9"/>
  <c r="F75" i="9"/>
  <c r="E75" i="9"/>
  <c r="D75" i="9"/>
  <c r="C75" i="9"/>
  <c r="B75" i="9"/>
  <c r="P74" i="9"/>
  <c r="O74" i="9"/>
  <c r="N74" i="9"/>
  <c r="M74" i="9"/>
  <c r="L74" i="9"/>
  <c r="K74" i="9"/>
  <c r="J74" i="9"/>
  <c r="I74" i="9"/>
  <c r="H74" i="9"/>
  <c r="G74" i="9"/>
  <c r="F74" i="9"/>
  <c r="E74" i="9"/>
  <c r="D74" i="9"/>
  <c r="C74" i="9"/>
  <c r="B74" i="9"/>
  <c r="P73" i="9"/>
  <c r="O73" i="9"/>
  <c r="N73" i="9"/>
  <c r="M73" i="9"/>
  <c r="L73" i="9"/>
  <c r="K73" i="9"/>
  <c r="J73" i="9"/>
  <c r="I73" i="9"/>
  <c r="H73" i="9"/>
  <c r="G73" i="9"/>
  <c r="F73" i="9"/>
  <c r="E73" i="9"/>
  <c r="D73" i="9"/>
  <c r="C73" i="9"/>
  <c r="B73" i="9"/>
  <c r="P72" i="9"/>
  <c r="O72" i="9"/>
  <c r="N72" i="9"/>
  <c r="M72" i="9"/>
  <c r="L72" i="9"/>
  <c r="K72" i="9"/>
  <c r="J72" i="9"/>
  <c r="I72" i="9"/>
  <c r="H72" i="9"/>
  <c r="G72" i="9"/>
  <c r="F72" i="9"/>
  <c r="E72" i="9"/>
  <c r="D72" i="9"/>
  <c r="C72" i="9"/>
  <c r="B72" i="9"/>
  <c r="P71" i="9"/>
  <c r="O71" i="9"/>
  <c r="N71" i="9"/>
  <c r="M71" i="9"/>
  <c r="L71" i="9"/>
  <c r="K71" i="9"/>
  <c r="J71" i="9"/>
  <c r="I71" i="9"/>
  <c r="H71" i="9"/>
  <c r="G71" i="9"/>
  <c r="F71" i="9"/>
  <c r="E71" i="9"/>
  <c r="D71" i="9"/>
  <c r="C71" i="9"/>
  <c r="B71" i="9"/>
  <c r="P70" i="9"/>
  <c r="O70" i="9"/>
  <c r="N70" i="9"/>
  <c r="M70" i="9"/>
  <c r="L70" i="9"/>
  <c r="K70" i="9"/>
  <c r="J70" i="9"/>
  <c r="I70" i="9"/>
  <c r="H70" i="9"/>
  <c r="G70" i="9"/>
  <c r="F70" i="9"/>
  <c r="E70" i="9"/>
  <c r="D70" i="9"/>
  <c r="C70" i="9"/>
  <c r="B70" i="9"/>
  <c r="P69" i="9"/>
  <c r="O69" i="9"/>
  <c r="N69" i="9"/>
  <c r="M69" i="9"/>
  <c r="L69" i="9"/>
  <c r="K69" i="9"/>
  <c r="J69" i="9"/>
  <c r="I69" i="9"/>
  <c r="H69" i="9"/>
  <c r="G69" i="9"/>
  <c r="F69" i="9"/>
  <c r="E69" i="9"/>
  <c r="D69" i="9"/>
  <c r="C69" i="9"/>
  <c r="B69" i="9"/>
  <c r="P68" i="9"/>
  <c r="O68" i="9"/>
  <c r="N68" i="9"/>
  <c r="M68" i="9"/>
  <c r="L68" i="9"/>
  <c r="K68" i="9"/>
  <c r="J68" i="9"/>
  <c r="I68" i="9"/>
  <c r="H68" i="9"/>
  <c r="G68" i="9"/>
  <c r="F68" i="9"/>
  <c r="E68" i="9"/>
  <c r="D68" i="9"/>
  <c r="C68" i="9"/>
  <c r="B68" i="9"/>
  <c r="P67" i="9"/>
  <c r="O67" i="9"/>
  <c r="N67" i="9"/>
  <c r="M67" i="9"/>
  <c r="L67" i="9"/>
  <c r="K67" i="9"/>
  <c r="J67" i="9"/>
  <c r="I67" i="9"/>
  <c r="H67" i="9"/>
  <c r="G67" i="9"/>
  <c r="F67" i="9"/>
  <c r="E67" i="9"/>
  <c r="D67" i="9"/>
  <c r="C67" i="9"/>
  <c r="B67" i="9"/>
  <c r="P66" i="9"/>
  <c r="O66" i="9"/>
  <c r="N66" i="9"/>
  <c r="M66" i="9"/>
  <c r="L66" i="9"/>
  <c r="K66" i="9"/>
  <c r="J66" i="9"/>
  <c r="I66" i="9"/>
  <c r="H66" i="9"/>
  <c r="G66" i="9"/>
  <c r="F66" i="9"/>
  <c r="E66" i="9"/>
  <c r="D66" i="9"/>
  <c r="C66" i="9"/>
  <c r="B66" i="9"/>
  <c r="P65" i="9"/>
  <c r="O65" i="9"/>
  <c r="N65" i="9"/>
  <c r="M65" i="9"/>
  <c r="L65" i="9"/>
  <c r="K65" i="9"/>
  <c r="J65" i="9"/>
  <c r="I65" i="9"/>
  <c r="H65" i="9"/>
  <c r="G65" i="9"/>
  <c r="F65" i="9"/>
  <c r="E65" i="9"/>
  <c r="D65" i="9"/>
  <c r="C65" i="9"/>
  <c r="B65" i="9"/>
  <c r="P64" i="9"/>
  <c r="O64" i="9"/>
  <c r="N64" i="9"/>
  <c r="M64" i="9"/>
  <c r="L64" i="9"/>
  <c r="K64" i="9"/>
  <c r="J64" i="9"/>
  <c r="I64" i="9"/>
  <c r="H64" i="9"/>
  <c r="G64" i="9"/>
  <c r="F64" i="9"/>
  <c r="E64" i="9"/>
  <c r="D64" i="9"/>
  <c r="C64" i="9"/>
  <c r="B64" i="9"/>
  <c r="P63" i="9"/>
  <c r="O63" i="9"/>
  <c r="N63" i="9"/>
  <c r="M63" i="9"/>
  <c r="L63" i="9"/>
  <c r="K63" i="9"/>
  <c r="J63" i="9"/>
  <c r="I63" i="9"/>
  <c r="H63" i="9"/>
  <c r="G63" i="9"/>
  <c r="F63" i="9"/>
  <c r="E63" i="9"/>
  <c r="D63" i="9"/>
  <c r="C63" i="9"/>
  <c r="B63" i="9"/>
  <c r="P62" i="9"/>
  <c r="O62" i="9"/>
  <c r="N62" i="9"/>
  <c r="M62" i="9"/>
  <c r="L62" i="9"/>
  <c r="K62" i="9"/>
  <c r="J62" i="9"/>
  <c r="I62" i="9"/>
  <c r="H62" i="9"/>
  <c r="G62" i="9"/>
  <c r="F62" i="9"/>
  <c r="E62" i="9"/>
  <c r="D62" i="9"/>
  <c r="C62" i="9"/>
  <c r="B62" i="9"/>
  <c r="P61" i="9"/>
  <c r="O61" i="9"/>
  <c r="N61" i="9"/>
  <c r="M61" i="9"/>
  <c r="L61" i="9"/>
  <c r="K61" i="9"/>
  <c r="J61" i="9"/>
  <c r="I61" i="9"/>
  <c r="H61" i="9"/>
  <c r="G61" i="9"/>
  <c r="F61" i="9"/>
  <c r="E61" i="9"/>
  <c r="D61" i="9"/>
  <c r="C61" i="9"/>
  <c r="B61" i="9"/>
  <c r="P60" i="9"/>
  <c r="O60" i="9"/>
  <c r="N60" i="9"/>
  <c r="M60" i="9"/>
  <c r="L60" i="9"/>
  <c r="K60" i="9"/>
  <c r="J60" i="9"/>
  <c r="I60" i="9"/>
  <c r="H60" i="9"/>
  <c r="G60" i="9"/>
  <c r="F60" i="9"/>
  <c r="E60" i="9"/>
  <c r="D60" i="9"/>
  <c r="C60" i="9"/>
  <c r="B60" i="9"/>
  <c r="P59" i="9"/>
  <c r="O59" i="9"/>
  <c r="N59" i="9"/>
  <c r="M59" i="9"/>
  <c r="L59" i="9"/>
  <c r="K59" i="9"/>
  <c r="J59" i="9"/>
  <c r="I59" i="9"/>
  <c r="H59" i="9"/>
  <c r="G59" i="9"/>
  <c r="F59" i="9"/>
  <c r="E59" i="9"/>
  <c r="D59" i="9"/>
  <c r="C59" i="9"/>
  <c r="B59" i="9"/>
  <c r="P58" i="9"/>
  <c r="O58" i="9"/>
  <c r="N58" i="9"/>
  <c r="M58" i="9"/>
  <c r="L58" i="9"/>
  <c r="K58" i="9"/>
  <c r="J58" i="9"/>
  <c r="I58" i="9"/>
  <c r="H58" i="9"/>
  <c r="G58" i="9"/>
  <c r="F58" i="9"/>
  <c r="E58" i="9"/>
  <c r="D58" i="9"/>
  <c r="C58" i="9"/>
  <c r="B58" i="9"/>
  <c r="P57" i="9"/>
  <c r="O57" i="9"/>
  <c r="N57" i="9"/>
  <c r="M57" i="9"/>
  <c r="L57" i="9"/>
  <c r="K57" i="9"/>
  <c r="J57" i="9"/>
  <c r="I57" i="9"/>
  <c r="H57" i="9"/>
  <c r="G57" i="9"/>
  <c r="F57" i="9"/>
  <c r="E57" i="9"/>
  <c r="D57" i="9"/>
  <c r="C57" i="9"/>
  <c r="B57" i="9"/>
  <c r="P56" i="9"/>
  <c r="O56" i="9"/>
  <c r="N56" i="9"/>
  <c r="M56" i="9"/>
  <c r="L56" i="9"/>
  <c r="K56" i="9"/>
  <c r="J56" i="9"/>
  <c r="I56" i="9"/>
  <c r="H56" i="9"/>
  <c r="G56" i="9"/>
  <c r="F56" i="9"/>
  <c r="E56" i="9"/>
  <c r="D56" i="9"/>
  <c r="C56" i="9"/>
  <c r="B56" i="9"/>
  <c r="P55" i="9"/>
  <c r="O55" i="9"/>
  <c r="N55" i="9"/>
  <c r="M55" i="9"/>
  <c r="L55" i="9"/>
  <c r="K55" i="9"/>
  <c r="J55" i="9"/>
  <c r="I55" i="9"/>
  <c r="H55" i="9"/>
  <c r="G55" i="9"/>
  <c r="F55" i="9"/>
  <c r="E55" i="9"/>
  <c r="D55" i="9"/>
  <c r="C55" i="9"/>
  <c r="B55" i="9"/>
  <c r="P54" i="9"/>
  <c r="O54" i="9"/>
  <c r="N54" i="9"/>
  <c r="M54" i="9"/>
  <c r="L54" i="9"/>
  <c r="K54" i="9"/>
  <c r="J54" i="9"/>
  <c r="I54" i="9"/>
  <c r="H54" i="9"/>
  <c r="G54" i="9"/>
  <c r="F54" i="9"/>
  <c r="E54" i="9"/>
  <c r="D54" i="9"/>
  <c r="C54" i="9"/>
  <c r="B54" i="9"/>
  <c r="P53" i="9"/>
  <c r="O53" i="9"/>
  <c r="N53" i="9"/>
  <c r="M53" i="9"/>
  <c r="L53" i="9"/>
  <c r="K53" i="9"/>
  <c r="J53" i="9"/>
  <c r="I53" i="9"/>
  <c r="H53" i="9"/>
  <c r="G53" i="9"/>
  <c r="F53" i="9"/>
  <c r="E53" i="9"/>
  <c r="D53" i="9"/>
  <c r="C53" i="9"/>
  <c r="B53" i="9"/>
  <c r="P52" i="9"/>
  <c r="O52" i="9"/>
  <c r="N52" i="9"/>
  <c r="M52" i="9"/>
  <c r="L52" i="9"/>
  <c r="K52" i="9"/>
  <c r="J52" i="9"/>
  <c r="I52" i="9"/>
  <c r="H52" i="9"/>
  <c r="G52" i="9"/>
  <c r="F52" i="9"/>
  <c r="E52" i="9"/>
  <c r="D52" i="9"/>
  <c r="C52" i="9"/>
  <c r="B52" i="9"/>
  <c r="P51" i="9"/>
  <c r="O51" i="9"/>
  <c r="N51" i="9"/>
  <c r="M51" i="9"/>
  <c r="L51" i="9"/>
  <c r="K51" i="9"/>
  <c r="J51" i="9"/>
  <c r="I51" i="9"/>
  <c r="H51" i="9"/>
  <c r="G51" i="9"/>
  <c r="F51" i="9"/>
  <c r="E51" i="9"/>
  <c r="D51" i="9"/>
  <c r="C51" i="9"/>
  <c r="B51" i="9"/>
  <c r="P50" i="9"/>
  <c r="O50" i="9"/>
  <c r="N50" i="9"/>
  <c r="M50" i="9"/>
  <c r="L50" i="9"/>
  <c r="K50" i="9"/>
  <c r="J50" i="9"/>
  <c r="I50" i="9"/>
  <c r="H50" i="9"/>
  <c r="G50" i="9"/>
  <c r="F50" i="9"/>
  <c r="E50" i="9"/>
  <c r="D50" i="9"/>
  <c r="C50" i="9"/>
  <c r="B50" i="9"/>
  <c r="P49" i="9"/>
  <c r="O49" i="9"/>
  <c r="N49" i="9"/>
  <c r="M49" i="9"/>
  <c r="L49" i="9"/>
  <c r="K49" i="9"/>
  <c r="J49" i="9"/>
  <c r="I49" i="9"/>
  <c r="H49" i="9"/>
  <c r="G49" i="9"/>
  <c r="F49" i="9"/>
  <c r="E49" i="9"/>
  <c r="D49" i="9"/>
  <c r="C49" i="9"/>
  <c r="B49" i="9"/>
  <c r="P48" i="9"/>
  <c r="O48" i="9"/>
  <c r="N48" i="9"/>
  <c r="M48" i="9"/>
  <c r="L48" i="9"/>
  <c r="K48" i="9"/>
  <c r="J48" i="9"/>
  <c r="I48" i="9"/>
  <c r="H48" i="9"/>
  <c r="G48" i="9"/>
  <c r="F48" i="9"/>
  <c r="E48" i="9"/>
  <c r="D48" i="9"/>
  <c r="C48" i="9"/>
  <c r="B48" i="9"/>
  <c r="P47" i="9"/>
  <c r="O47" i="9"/>
  <c r="N47" i="9"/>
  <c r="M47" i="9"/>
  <c r="L47" i="9"/>
  <c r="K47" i="9"/>
  <c r="J47" i="9"/>
  <c r="I47" i="9"/>
  <c r="H47" i="9"/>
  <c r="G47" i="9"/>
  <c r="F47" i="9"/>
  <c r="E47" i="9"/>
  <c r="D47" i="9"/>
  <c r="C47" i="9"/>
  <c r="B47" i="9"/>
  <c r="P46" i="9"/>
  <c r="O46" i="9"/>
  <c r="N46" i="9"/>
  <c r="M46" i="9"/>
  <c r="L46" i="9"/>
  <c r="K46" i="9"/>
  <c r="J46" i="9"/>
  <c r="I46" i="9"/>
  <c r="H46" i="9"/>
  <c r="G46" i="9"/>
  <c r="F46" i="9"/>
  <c r="E46" i="9"/>
  <c r="D46" i="9"/>
  <c r="C46" i="9"/>
  <c r="B46" i="9"/>
  <c r="P45" i="9"/>
  <c r="O45" i="9"/>
  <c r="N45" i="9"/>
  <c r="M45" i="9"/>
  <c r="L45" i="9"/>
  <c r="K45" i="9"/>
  <c r="J45" i="9"/>
  <c r="I45" i="9"/>
  <c r="H45" i="9"/>
  <c r="G45" i="9"/>
  <c r="F45" i="9"/>
  <c r="E45" i="9"/>
  <c r="D45" i="9"/>
  <c r="C45" i="9"/>
  <c r="B45" i="9"/>
  <c r="P44" i="9"/>
  <c r="O44" i="9"/>
  <c r="N44" i="9"/>
  <c r="M44" i="9"/>
  <c r="L44" i="9"/>
  <c r="K44" i="9"/>
  <c r="J44" i="9"/>
  <c r="I44" i="9"/>
  <c r="H44" i="9"/>
  <c r="G44" i="9"/>
  <c r="F44" i="9"/>
  <c r="E44" i="9"/>
  <c r="D44" i="9"/>
  <c r="C44" i="9"/>
  <c r="B44" i="9"/>
  <c r="P43" i="9"/>
  <c r="O43" i="9"/>
  <c r="N43" i="9"/>
  <c r="M43" i="9"/>
  <c r="L43" i="9"/>
  <c r="K43" i="9"/>
  <c r="J43" i="9"/>
  <c r="I43" i="9"/>
  <c r="H43" i="9"/>
  <c r="G43" i="9"/>
  <c r="F43" i="9"/>
  <c r="E43" i="9"/>
  <c r="D43" i="9"/>
  <c r="C43" i="9"/>
  <c r="B43" i="9"/>
  <c r="P42" i="9"/>
  <c r="O42" i="9"/>
  <c r="N42" i="9"/>
  <c r="M42" i="9"/>
  <c r="L42" i="9"/>
  <c r="K42" i="9"/>
  <c r="J42" i="9"/>
  <c r="I42" i="9"/>
  <c r="H42" i="9"/>
  <c r="G42" i="9"/>
  <c r="F42" i="9"/>
  <c r="E42" i="9"/>
  <c r="D42" i="9"/>
  <c r="C42" i="9"/>
  <c r="B42" i="9"/>
  <c r="P41" i="9"/>
  <c r="O41" i="9"/>
  <c r="N41" i="9"/>
  <c r="M41" i="9"/>
  <c r="L41" i="9"/>
  <c r="K41" i="9"/>
  <c r="J41" i="9"/>
  <c r="I41" i="9"/>
  <c r="H41" i="9"/>
  <c r="G41" i="9"/>
  <c r="F41" i="9"/>
  <c r="E41" i="9"/>
  <c r="D41" i="9"/>
  <c r="C41" i="9"/>
  <c r="B41" i="9"/>
  <c r="P40" i="9"/>
  <c r="O40" i="9"/>
  <c r="N40" i="9"/>
  <c r="M40" i="9"/>
  <c r="L40" i="9"/>
  <c r="K40" i="9"/>
  <c r="J40" i="9"/>
  <c r="I40" i="9"/>
  <c r="H40" i="9"/>
  <c r="G40" i="9"/>
  <c r="F40" i="9"/>
  <c r="E40" i="9"/>
  <c r="D40" i="9"/>
  <c r="C40" i="9"/>
  <c r="B40" i="9"/>
  <c r="P39" i="9"/>
  <c r="O39" i="9"/>
  <c r="N39" i="9"/>
  <c r="M39" i="9"/>
  <c r="L39" i="9"/>
  <c r="K39" i="9"/>
  <c r="J39" i="9"/>
  <c r="I39" i="9"/>
  <c r="H39" i="9"/>
  <c r="G39" i="9"/>
  <c r="F39" i="9"/>
  <c r="E39" i="9"/>
  <c r="D39" i="9"/>
  <c r="C39" i="9"/>
  <c r="B39" i="9"/>
  <c r="P38" i="9"/>
  <c r="O38" i="9"/>
  <c r="N38" i="9"/>
  <c r="M38" i="9"/>
  <c r="L38" i="9"/>
  <c r="K38" i="9"/>
  <c r="J38" i="9"/>
  <c r="I38" i="9"/>
  <c r="H38" i="9"/>
  <c r="G38" i="9"/>
  <c r="F38" i="9"/>
  <c r="E38" i="9"/>
  <c r="D38" i="9"/>
  <c r="C38" i="9"/>
  <c r="B38" i="9"/>
  <c r="P37" i="9"/>
  <c r="O37" i="9"/>
  <c r="N37" i="9"/>
  <c r="M37" i="9"/>
  <c r="L37" i="9"/>
  <c r="K37" i="9"/>
  <c r="J37" i="9"/>
  <c r="I37" i="9"/>
  <c r="H37" i="9"/>
  <c r="G37" i="9"/>
  <c r="F37" i="9"/>
  <c r="E37" i="9"/>
  <c r="D37" i="9"/>
  <c r="C37" i="9"/>
  <c r="B37" i="9"/>
  <c r="P36" i="9"/>
  <c r="O36" i="9"/>
  <c r="N36" i="9"/>
  <c r="M36" i="9"/>
  <c r="L36" i="9"/>
  <c r="K36" i="9"/>
  <c r="J36" i="9"/>
  <c r="I36" i="9"/>
  <c r="H36" i="9"/>
  <c r="G36" i="9"/>
  <c r="F36" i="9"/>
  <c r="E36" i="9"/>
  <c r="D36" i="9"/>
  <c r="C36" i="9"/>
  <c r="B36" i="9"/>
  <c r="P35" i="9"/>
  <c r="O35" i="9"/>
  <c r="N35" i="9"/>
  <c r="M35" i="9"/>
  <c r="L35" i="9"/>
  <c r="K35" i="9"/>
  <c r="J35" i="9"/>
  <c r="I35" i="9"/>
  <c r="H35" i="9"/>
  <c r="G35" i="9"/>
  <c r="F35" i="9"/>
  <c r="E35" i="9"/>
  <c r="D35" i="9"/>
  <c r="C35" i="9"/>
  <c r="B35" i="9"/>
  <c r="P34" i="9"/>
  <c r="O34" i="9"/>
  <c r="N34" i="9"/>
  <c r="M34" i="9"/>
  <c r="L34" i="9"/>
  <c r="K34" i="9"/>
  <c r="J34" i="9"/>
  <c r="I34" i="9"/>
  <c r="H34" i="9"/>
  <c r="G34" i="9"/>
  <c r="F34" i="9"/>
  <c r="E34" i="9"/>
  <c r="D34" i="9"/>
  <c r="C34" i="9"/>
  <c r="B34" i="9"/>
  <c r="P33" i="9"/>
  <c r="O33" i="9"/>
  <c r="N33" i="9"/>
  <c r="M33" i="9"/>
  <c r="L33" i="9"/>
  <c r="K33" i="9"/>
  <c r="J33" i="9"/>
  <c r="I33" i="9"/>
  <c r="H33" i="9"/>
  <c r="G33" i="9"/>
  <c r="F33" i="9"/>
  <c r="E33" i="9"/>
  <c r="D33" i="9"/>
  <c r="C33" i="9"/>
  <c r="B33" i="9"/>
  <c r="P32" i="9"/>
  <c r="O32" i="9"/>
  <c r="N32" i="9"/>
  <c r="M32" i="9"/>
  <c r="L32" i="9"/>
  <c r="K32" i="9"/>
  <c r="J32" i="9"/>
  <c r="I32" i="9"/>
  <c r="H32" i="9"/>
  <c r="G32" i="9"/>
  <c r="F32" i="9"/>
  <c r="E32" i="9"/>
  <c r="D32" i="9"/>
  <c r="C32" i="9"/>
  <c r="B32" i="9"/>
  <c r="P31" i="9"/>
  <c r="O31" i="9"/>
  <c r="N31" i="9"/>
  <c r="M31" i="9"/>
  <c r="L31" i="9"/>
  <c r="K31" i="9"/>
  <c r="J31" i="9"/>
  <c r="I31" i="9"/>
  <c r="H31" i="9"/>
  <c r="G31" i="9"/>
  <c r="F31" i="9"/>
  <c r="E31" i="9"/>
  <c r="D31" i="9"/>
  <c r="C31" i="9"/>
  <c r="B31" i="9"/>
  <c r="P30" i="9"/>
  <c r="O30" i="9"/>
  <c r="N30" i="9"/>
  <c r="M30" i="9"/>
  <c r="L30" i="9"/>
  <c r="K30" i="9"/>
  <c r="J30" i="9"/>
  <c r="I30" i="9"/>
  <c r="H30" i="9"/>
  <c r="G30" i="9"/>
  <c r="F30" i="9"/>
  <c r="E30" i="9"/>
  <c r="D30" i="9"/>
  <c r="C30" i="9"/>
  <c r="B30" i="9"/>
  <c r="P29" i="9"/>
  <c r="O29" i="9"/>
  <c r="N29" i="9"/>
  <c r="M29" i="9"/>
  <c r="L29" i="9"/>
  <c r="K29" i="9"/>
  <c r="J29" i="9"/>
  <c r="I29" i="9"/>
  <c r="H29" i="9"/>
  <c r="G29" i="9"/>
  <c r="F29" i="9"/>
  <c r="E29" i="9"/>
  <c r="D29" i="9"/>
  <c r="C29" i="9"/>
  <c r="B29" i="9"/>
  <c r="P28" i="9"/>
  <c r="O28" i="9"/>
  <c r="N28" i="9"/>
  <c r="M28" i="9"/>
  <c r="L28" i="9"/>
  <c r="K28" i="9"/>
  <c r="J28" i="9"/>
  <c r="I28" i="9"/>
  <c r="H28" i="9"/>
  <c r="G28" i="9"/>
  <c r="F28" i="9"/>
  <c r="E28" i="9"/>
  <c r="D28" i="9"/>
  <c r="C28" i="9"/>
  <c r="B28" i="9"/>
  <c r="P27" i="9"/>
  <c r="O27" i="9"/>
  <c r="N27" i="9"/>
  <c r="M27" i="9"/>
  <c r="L27" i="9"/>
  <c r="K27" i="9"/>
  <c r="J27" i="9"/>
  <c r="I27" i="9"/>
  <c r="H27" i="9"/>
  <c r="G27" i="9"/>
  <c r="F27" i="9"/>
  <c r="E27" i="9"/>
  <c r="D27" i="9"/>
  <c r="C27" i="9"/>
  <c r="B27" i="9"/>
  <c r="P26" i="9"/>
  <c r="O26" i="9"/>
  <c r="N26" i="9"/>
  <c r="M26" i="9"/>
  <c r="L26" i="9"/>
  <c r="K26" i="9"/>
  <c r="J26" i="9"/>
  <c r="I26" i="9"/>
  <c r="H26" i="9"/>
  <c r="G26" i="9"/>
  <c r="F26" i="9"/>
  <c r="E26" i="9"/>
  <c r="D26" i="9"/>
  <c r="C26" i="9"/>
  <c r="B26" i="9"/>
  <c r="P25" i="9"/>
  <c r="O25" i="9"/>
  <c r="N25" i="9"/>
  <c r="M25" i="9"/>
  <c r="L25" i="9"/>
  <c r="K25" i="9"/>
  <c r="J25" i="9"/>
  <c r="I25" i="9"/>
  <c r="H25" i="9"/>
  <c r="G25" i="9"/>
  <c r="F25" i="9"/>
  <c r="E25" i="9"/>
  <c r="D25" i="9"/>
  <c r="C25" i="9"/>
  <c r="B25" i="9"/>
  <c r="P24" i="9"/>
  <c r="O24" i="9"/>
  <c r="N24" i="9"/>
  <c r="M24" i="9"/>
  <c r="L24" i="9"/>
  <c r="K24" i="9"/>
  <c r="J24" i="9"/>
  <c r="I24" i="9"/>
  <c r="H24" i="9"/>
  <c r="G24" i="9"/>
  <c r="F24" i="9"/>
  <c r="E24" i="9"/>
  <c r="D24" i="9"/>
  <c r="C24" i="9"/>
  <c r="B24" i="9"/>
  <c r="P23" i="9"/>
  <c r="O23" i="9"/>
  <c r="N23" i="9"/>
  <c r="M23" i="9"/>
  <c r="L23" i="9"/>
  <c r="K23" i="9"/>
  <c r="J23" i="9"/>
  <c r="I23" i="9"/>
  <c r="H23" i="9"/>
  <c r="G23" i="9"/>
  <c r="F23" i="9"/>
  <c r="E23" i="9"/>
  <c r="D23" i="9"/>
  <c r="C23" i="9"/>
  <c r="B23" i="9"/>
  <c r="P22" i="9"/>
  <c r="O22" i="9"/>
  <c r="N22" i="9"/>
  <c r="M22" i="9"/>
  <c r="L22" i="9"/>
  <c r="K22" i="9"/>
  <c r="J22" i="9"/>
  <c r="I22" i="9"/>
  <c r="H22" i="9"/>
  <c r="G22" i="9"/>
  <c r="F22" i="9"/>
  <c r="E22" i="9"/>
  <c r="D22" i="9"/>
  <c r="C22" i="9"/>
  <c r="B22" i="9"/>
  <c r="P21" i="9"/>
  <c r="O21" i="9"/>
  <c r="N21" i="9"/>
  <c r="M21" i="9"/>
  <c r="L21" i="9"/>
  <c r="K21" i="9"/>
  <c r="J21" i="9"/>
  <c r="I21" i="9"/>
  <c r="H21" i="9"/>
  <c r="G21" i="9"/>
  <c r="F21" i="9"/>
  <c r="E21" i="9"/>
  <c r="D21" i="9"/>
  <c r="C21" i="9"/>
  <c r="B21" i="9"/>
  <c r="P20" i="9"/>
  <c r="O20" i="9"/>
  <c r="N20" i="9"/>
  <c r="M20" i="9"/>
  <c r="L20" i="9"/>
  <c r="K20" i="9"/>
  <c r="J20" i="9"/>
  <c r="I20" i="9"/>
  <c r="H20" i="9"/>
  <c r="G20" i="9"/>
  <c r="F20" i="9"/>
  <c r="E20" i="9"/>
  <c r="D20" i="9"/>
  <c r="C20" i="9"/>
  <c r="B20" i="9"/>
  <c r="P19" i="9"/>
  <c r="O19" i="9"/>
  <c r="N19" i="9"/>
  <c r="M19" i="9"/>
  <c r="L19" i="9"/>
  <c r="K19" i="9"/>
  <c r="J19" i="9"/>
  <c r="I19" i="9"/>
  <c r="H19" i="9"/>
  <c r="G19" i="9"/>
  <c r="F19" i="9"/>
  <c r="E19" i="9"/>
  <c r="D19" i="9"/>
  <c r="C19" i="9"/>
  <c r="B19" i="9"/>
  <c r="P18" i="9"/>
  <c r="O18" i="9"/>
  <c r="N18" i="9"/>
  <c r="M18" i="9"/>
  <c r="L18" i="9"/>
  <c r="K18" i="9"/>
  <c r="J18" i="9"/>
  <c r="I18" i="9"/>
  <c r="H18" i="9"/>
  <c r="G18" i="9"/>
  <c r="F18" i="9"/>
  <c r="E18" i="9"/>
  <c r="D18" i="9"/>
  <c r="C18" i="9"/>
  <c r="B18" i="9"/>
  <c r="P17" i="9"/>
  <c r="O17" i="9"/>
  <c r="N17" i="9"/>
  <c r="M17" i="9"/>
  <c r="L17" i="9"/>
  <c r="K17" i="9"/>
  <c r="J17" i="9"/>
  <c r="I17" i="9"/>
  <c r="H17" i="9"/>
  <c r="G17" i="9"/>
  <c r="F17" i="9"/>
  <c r="E17" i="9"/>
  <c r="D17" i="9"/>
  <c r="C17" i="9"/>
  <c r="B17" i="9"/>
  <c r="P16" i="9"/>
  <c r="O16" i="9"/>
  <c r="N16" i="9"/>
  <c r="M16" i="9"/>
  <c r="L16" i="9"/>
  <c r="K16" i="9"/>
  <c r="J16" i="9"/>
  <c r="I16" i="9"/>
  <c r="H16" i="9"/>
  <c r="G16" i="9"/>
  <c r="F16" i="9"/>
  <c r="E16" i="9"/>
  <c r="D16" i="9"/>
  <c r="C16" i="9"/>
  <c r="B16" i="9"/>
  <c r="P15" i="9"/>
  <c r="O15" i="9"/>
  <c r="N15" i="9"/>
  <c r="M15" i="9"/>
  <c r="L15" i="9"/>
  <c r="K15" i="9"/>
  <c r="J15" i="9"/>
  <c r="I15" i="9"/>
  <c r="H15" i="9"/>
  <c r="G15" i="9"/>
  <c r="F15" i="9"/>
  <c r="E15" i="9"/>
  <c r="D15" i="9"/>
  <c r="C15" i="9"/>
  <c r="B15" i="9"/>
  <c r="P14" i="9"/>
  <c r="O14" i="9"/>
  <c r="N14" i="9"/>
  <c r="M14" i="9"/>
  <c r="L14" i="9"/>
  <c r="K14" i="9"/>
  <c r="J14" i="9"/>
  <c r="I14" i="9"/>
  <c r="H14" i="9"/>
  <c r="G14" i="9"/>
  <c r="F14" i="9"/>
  <c r="E14" i="9"/>
  <c r="D14" i="9"/>
  <c r="C14" i="9"/>
  <c r="B14" i="9"/>
  <c r="P13" i="9"/>
  <c r="O13" i="9"/>
  <c r="N13" i="9"/>
  <c r="M13" i="9"/>
  <c r="L13" i="9"/>
  <c r="K13" i="9"/>
  <c r="J13" i="9"/>
  <c r="I13" i="9"/>
  <c r="H13" i="9"/>
  <c r="G13" i="9"/>
  <c r="F13" i="9"/>
  <c r="E13" i="9"/>
  <c r="D13" i="9"/>
  <c r="C13" i="9"/>
  <c r="B13" i="9"/>
  <c r="P12" i="9"/>
  <c r="O12" i="9"/>
  <c r="N12" i="9"/>
  <c r="M12" i="9"/>
  <c r="L12" i="9"/>
  <c r="K12" i="9"/>
  <c r="J12" i="9"/>
  <c r="I12" i="9"/>
  <c r="H12" i="9"/>
  <c r="G12" i="9"/>
  <c r="F12" i="9"/>
  <c r="E12" i="9"/>
  <c r="D12" i="9"/>
  <c r="C12" i="9"/>
  <c r="B12" i="9"/>
  <c r="P11" i="9"/>
  <c r="O11" i="9"/>
  <c r="N11" i="9"/>
  <c r="M11" i="9"/>
  <c r="L11" i="9"/>
  <c r="K11" i="9"/>
  <c r="J11" i="9"/>
  <c r="I11" i="9"/>
  <c r="H11" i="9"/>
  <c r="G11" i="9"/>
  <c r="F11" i="9"/>
  <c r="E11" i="9"/>
  <c r="D11" i="9"/>
  <c r="C11" i="9"/>
  <c r="B11" i="9"/>
  <c r="P10" i="9"/>
  <c r="O10" i="9"/>
  <c r="N10" i="9"/>
  <c r="M10" i="9"/>
  <c r="L10" i="9"/>
  <c r="K10" i="9"/>
  <c r="J10" i="9"/>
  <c r="I10" i="9"/>
  <c r="H10" i="9"/>
  <c r="G10" i="9"/>
  <c r="F10" i="9"/>
  <c r="E10" i="9"/>
  <c r="D10" i="9"/>
  <c r="C10" i="9"/>
  <c r="B10" i="9"/>
  <c r="P9" i="9"/>
  <c r="O9" i="9"/>
  <c r="N9" i="9"/>
  <c r="M9" i="9"/>
  <c r="L9" i="9"/>
  <c r="K9" i="9"/>
  <c r="J9" i="9"/>
  <c r="I9" i="9"/>
  <c r="H9" i="9"/>
  <c r="G9" i="9"/>
  <c r="F9" i="9"/>
  <c r="E9" i="9"/>
  <c r="D9" i="9"/>
  <c r="C9" i="9"/>
  <c r="B9" i="9"/>
  <c r="P8" i="9"/>
  <c r="O8" i="9"/>
  <c r="N8" i="9"/>
  <c r="M8" i="9"/>
  <c r="L8" i="9"/>
  <c r="K8" i="9"/>
  <c r="J8" i="9"/>
  <c r="I8" i="9"/>
  <c r="H8" i="9"/>
  <c r="G8" i="9"/>
  <c r="F8" i="9"/>
  <c r="E8" i="9"/>
  <c r="D8" i="9"/>
  <c r="C8" i="9"/>
  <c r="B8" i="9"/>
  <c r="P7" i="9"/>
  <c r="O7" i="9"/>
  <c r="N7" i="9"/>
  <c r="M7" i="9"/>
  <c r="L7" i="9"/>
  <c r="K7" i="9"/>
  <c r="J7" i="9"/>
  <c r="I7" i="9"/>
  <c r="H7" i="9"/>
  <c r="G7" i="9"/>
  <c r="G4" i="9" s="1"/>
  <c r="F7" i="9"/>
  <c r="E7" i="9"/>
  <c r="E4" i="9" s="1"/>
  <c r="D7" i="9"/>
  <c r="C7" i="9"/>
  <c r="B7" i="9"/>
  <c r="P6" i="9"/>
  <c r="O6" i="9"/>
  <c r="N6" i="9"/>
  <c r="M6" i="9"/>
  <c r="L6" i="9"/>
  <c r="K6" i="9"/>
  <c r="J6" i="9"/>
  <c r="I6" i="9"/>
  <c r="H6" i="9"/>
  <c r="G6" i="9"/>
  <c r="F6" i="9"/>
  <c r="E6" i="9"/>
  <c r="D6" i="9"/>
  <c r="C6" i="9"/>
  <c r="B6" i="9"/>
  <c r="P5" i="9"/>
  <c r="P4" i="9" s="1"/>
  <c r="O5" i="9"/>
  <c r="G27" i="2" s="1"/>
  <c r="G8" i="3" s="1"/>
  <c r="N5" i="9"/>
  <c r="N4" i="9" s="1"/>
  <c r="M5" i="9"/>
  <c r="M4" i="9" s="1"/>
  <c r="C27" i="2" s="1"/>
  <c r="C8" i="3" s="1"/>
  <c r="L5" i="9"/>
  <c r="L4" i="9" s="1"/>
  <c r="B27" i="2" s="1"/>
  <c r="B8" i="3" s="1"/>
  <c r="K5" i="9"/>
  <c r="K4" i="9" s="1"/>
  <c r="J5" i="9"/>
  <c r="J4" i="9" s="1"/>
  <c r="I5" i="9"/>
  <c r="I4" i="9" s="1"/>
  <c r="H5" i="9"/>
  <c r="H4" i="9" s="1"/>
  <c r="G5" i="9"/>
  <c r="F4" i="9"/>
  <c r="D27" i="2" s="1"/>
  <c r="D8" i="3" s="1"/>
  <c r="E5" i="9"/>
  <c r="D5" i="9"/>
  <c r="D4" i="9" s="1"/>
  <c r="E27" i="2" s="1"/>
  <c r="E8" i="3" s="1"/>
  <c r="C5" i="9"/>
  <c r="B5" i="9"/>
  <c r="C4" i="9"/>
  <c r="B4" i="9"/>
  <c r="AB63" i="6"/>
  <c r="AA63" i="6"/>
  <c r="Z63" i="6"/>
  <c r="Y63" i="6"/>
  <c r="X63" i="6"/>
  <c r="F63" i="6"/>
  <c r="AB51" i="6"/>
  <c r="AA51" i="6"/>
  <c r="Y51" i="6"/>
  <c r="X51" i="6"/>
  <c r="Z43" i="6"/>
  <c r="F27" i="2"/>
  <c r="F8" i="3" s="1"/>
  <c r="G25" i="2"/>
  <c r="F25" i="2"/>
  <c r="E25" i="2"/>
  <c r="D25" i="2"/>
  <c r="C25" i="2"/>
  <c r="B25" i="2"/>
  <c r="G23" i="2"/>
  <c r="G7" i="3" s="1"/>
  <c r="F23" i="2"/>
  <c r="F7" i="3" s="1"/>
  <c r="E23" i="2"/>
  <c r="E7" i="3" s="1"/>
  <c r="D23" i="2"/>
  <c r="D7" i="3" s="1"/>
  <c r="C23" i="2"/>
  <c r="C7" i="3" s="1"/>
  <c r="B23" i="2"/>
  <c r="B7" i="3" s="1"/>
  <c r="G19" i="2"/>
  <c r="G20" i="2" s="1"/>
  <c r="F19" i="2"/>
  <c r="F20" i="2" s="1"/>
  <c r="E19" i="2"/>
  <c r="E20" i="2" s="1"/>
  <c r="D19" i="2"/>
  <c r="D20" i="2" s="1"/>
  <c r="C19" i="2"/>
  <c r="C20" i="2" s="1"/>
  <c r="B19" i="2"/>
  <c r="B20" i="2" s="1"/>
  <c r="G17" i="2"/>
  <c r="F17" i="2"/>
  <c r="E17" i="2"/>
  <c r="D17" i="2"/>
  <c r="C17" i="2"/>
  <c r="B17" i="2"/>
  <c r="G14" i="2"/>
  <c r="G15" i="2" s="1"/>
  <c r="E14" i="2"/>
  <c r="E15" i="2" s="1"/>
  <c r="D14" i="2"/>
  <c r="D15" i="2" s="1"/>
  <c r="C14" i="2"/>
  <c r="C15" i="2" s="1"/>
  <c r="B14" i="2"/>
  <c r="B15" i="2" s="1"/>
  <c r="B10" i="2"/>
  <c r="B11" i="2" s="1"/>
  <c r="B12" i="2" s="1"/>
  <c r="B13" i="2" s="1"/>
  <c r="G7" i="2"/>
  <c r="E7" i="2"/>
  <c r="D7" i="2"/>
  <c r="C7" i="2"/>
  <c r="B7" i="2"/>
  <c r="G3" i="3"/>
  <c r="F4" i="2"/>
  <c r="F5" i="2" s="1"/>
  <c r="E4" i="2"/>
  <c r="E5" i="2" s="1"/>
  <c r="D4" i="2"/>
  <c r="D5" i="2" s="1"/>
  <c r="C4" i="2"/>
  <c r="C5" i="2" s="1"/>
  <c r="B4" i="2"/>
  <c r="B5" i="2" s="1"/>
  <c r="G2" i="2"/>
  <c r="F2" i="2"/>
  <c r="E2" i="2"/>
  <c r="D2" i="2"/>
  <c r="C2" i="2"/>
  <c r="B2" i="2"/>
  <c r="E3" i="3" l="1"/>
  <c r="C3" i="3"/>
  <c r="F3" i="3"/>
  <c r="D3" i="3"/>
  <c r="B3" i="3"/>
  <c r="E6" i="3"/>
  <c r="G6" i="3"/>
  <c r="D6" i="3"/>
  <c r="F6" i="3"/>
  <c r="C6" i="3"/>
  <c r="B6" i="3"/>
  <c r="G5" i="3"/>
  <c r="E5" i="3"/>
  <c r="C5" i="3"/>
  <c r="D5" i="3"/>
  <c r="B5" i="3"/>
  <c r="F12" i="2"/>
  <c r="D4" i="3"/>
  <c r="G4" i="3"/>
  <c r="E4" i="3"/>
  <c r="C4" i="3"/>
  <c r="B4" i="3"/>
  <c r="F13" i="2" l="1"/>
  <c r="F4"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F8" authorId="0" shapeId="0" xr:uid="{40E6B002-18AD-4623-B7E9-91B53F56B3AD}">
      <text>
        <r>
          <rPr>
            <b/>
            <sz val="10"/>
            <color indexed="81"/>
            <rFont val="Tahoma"/>
            <family val="2"/>
          </rPr>
          <t>Cliff Gold:</t>
        </r>
        <r>
          <rPr>
            <sz val="10"/>
            <color indexed="81"/>
            <rFont val="Tahoma"/>
            <family val="2"/>
          </rPr>
          <t xml:space="preserve">
Using 2023 data</t>
        </r>
      </text>
    </comment>
    <comment ref="C30" authorId="0" shapeId="0" xr:uid="{B45D52CE-86B1-454E-9547-8EEAA027848D}">
      <text>
        <r>
          <rPr>
            <b/>
            <sz val="10"/>
            <color indexed="81"/>
            <rFont val="Tahoma"/>
            <family val="2"/>
          </rPr>
          <t>Cliff Gold:</t>
        </r>
        <r>
          <rPr>
            <sz val="10"/>
            <color indexed="81"/>
            <rFont val="Tahoma"/>
            <family val="2"/>
          </rPr>
          <t xml:space="preserve">
From Cost Perf 2025, 150 MW/600 MWh battery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D3" authorId="0" shapeId="0" xr:uid="{DADBFA80-3946-4CD2-887F-037587FB5672}">
      <text>
        <r>
          <rPr>
            <b/>
            <sz val="10"/>
            <color indexed="81"/>
            <rFont val="Tahoma"/>
            <family val="2"/>
          </rPr>
          <t>Cliff Gold:</t>
        </r>
        <r>
          <rPr>
            <sz val="10"/>
            <color indexed="81"/>
            <rFont val="Tahoma"/>
            <family val="2"/>
          </rPr>
          <t xml:space="preserve">
Should be MW?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O4" authorId="0" shapeId="0" xr:uid="{2D7720BF-3C54-4A82-9847-8AD19357B524}">
      <text>
        <r>
          <rPr>
            <b/>
            <sz val="10"/>
            <color indexed="81"/>
            <rFont val="Tahoma"/>
            <family val="2"/>
          </rPr>
          <t>Cliff Gold:</t>
        </r>
        <r>
          <rPr>
            <sz val="10"/>
            <color indexed="81"/>
            <rFont val="Tahoma"/>
            <family val="2"/>
          </rPr>
          <t xml:space="preserve">
Converted from GW to GWh, based on typical 150 GW/600 GWh Battery</t>
        </r>
      </text>
    </comment>
  </commentList>
</comments>
</file>

<file path=xl/sharedStrings.xml><?xml version="1.0" encoding="utf-8"?>
<sst xmlns="http://schemas.openxmlformats.org/spreadsheetml/2006/main" count="1653" uniqueCount="338">
  <si>
    <t>Sheet in this Workbook</t>
  </si>
  <si>
    <t>Solar</t>
  </si>
  <si>
    <t>Wind</t>
  </si>
  <si>
    <t>Nuclear</t>
  </si>
  <si>
    <t>Gas</t>
  </si>
  <si>
    <t>Coal</t>
  </si>
  <si>
    <t>Storage</t>
  </si>
  <si>
    <t>Cost Perf 2025</t>
  </si>
  <si>
    <t>Row Offset</t>
  </si>
  <si>
    <t>Capital $/kW</t>
  </si>
  <si>
    <t>LCOE-LCOS</t>
  </si>
  <si>
    <t>Fixed Costs $/MWh</t>
  </si>
  <si>
    <t>Capacity Factor</t>
  </si>
  <si>
    <t>MWh/MWy</t>
  </si>
  <si>
    <t>Variable Costs $/MWh</t>
  </si>
  <si>
    <t>NREL CO2e</t>
  </si>
  <si>
    <t>CO2e g/kWh</t>
  </si>
  <si>
    <t>Lifetime</t>
  </si>
  <si>
    <t>Lifetime Years</t>
  </si>
  <si>
    <t>Build Rate</t>
  </si>
  <si>
    <t>Column Offset</t>
  </si>
  <si>
    <t>% of total GW</t>
  </si>
  <si>
    <t>Battery</t>
  </si>
  <si>
    <t>Max_PCT</t>
  </si>
  <si>
    <t>https://www.eia.gov/outlooks/aeo/electricity_generation/xls/AEO2025_LCOE-LCOS-LACE_figures.xlsx</t>
  </si>
  <si>
    <t xml:space="preserve">Estimated unweighted levelized cost of electricity (LCOE) and levelized cost of storage (LCOS) for new </t>
  </si>
  <si>
    <t>resources entering service in 2030, AEO2025 Reference case (2024 dollars per megawatthour)</t>
  </si>
  <si>
    <t>Plant type</t>
  </si>
  <si>
    <t>Capacity factor (percent)</t>
  </si>
  <si>
    <t>Levelized capital cost</t>
  </si>
  <si>
    <t>Levelized fixed O&amp;M</t>
  </si>
  <si>
    <t>Levelized variable cost</t>
  </si>
  <si>
    <t>Levelized transmission cost</t>
  </si>
  <si>
    <t>Total system LCOE or LCOS</t>
  </si>
  <si>
    <t>Levelized tax credit</t>
  </si>
  <si>
    <t>Levelized Capture Credit</t>
  </si>
  <si>
    <t>Total LCOE or LCOS including tax credit</t>
  </si>
  <si>
    <t>Dispatchable technologies</t>
  </si>
  <si>
    <t>Advanced nuclear</t>
  </si>
  <si>
    <t>NA</t>
  </si>
  <si>
    <t>Biomass</t>
  </si>
  <si>
    <t>Combined-cycle</t>
  </si>
  <si>
    <t>Combined-cycle with CCS</t>
  </si>
  <si>
    <t>Geothermal</t>
  </si>
  <si>
    <t>Resource-contrained technologies</t>
  </si>
  <si>
    <t>Wind, offshore</t>
  </si>
  <si>
    <t>Hydroelectric</t>
  </si>
  <si>
    <t>Solar, hybrid</t>
  </si>
  <si>
    <t>Solar, standalone</t>
  </si>
  <si>
    <t>Wind, onshore</t>
  </si>
  <si>
    <t>Capacity resource technologies</t>
  </si>
  <si>
    <t>Combustion turbine</t>
  </si>
  <si>
    <t>Battery storage</t>
  </si>
  <si>
    <r>
      <t xml:space="preserve">Data source:  U.S. Energy Information Administration, </t>
    </r>
    <r>
      <rPr>
        <i/>
        <sz val="9"/>
        <color theme="1"/>
        <rFont val="Aptos Narrow"/>
        <family val="2"/>
        <scheme val="minor"/>
      </rPr>
      <t>Annual Energy Outlook 2025</t>
    </r>
  </si>
  <si>
    <r>
      <t xml:space="preserve">Note: Technologies not eligible for the tax credits are indicated as </t>
    </r>
    <r>
      <rPr>
        <i/>
        <sz val="9"/>
        <color theme="1"/>
        <rFont val="Aptos Narrow"/>
        <family val="2"/>
        <scheme val="minor"/>
      </rPr>
      <t>NA</t>
    </r>
    <r>
      <rPr>
        <sz val="9"/>
        <color theme="1"/>
        <rFont val="Aptos Narrow"/>
        <family val="2"/>
        <scheme val="minor"/>
      </rPr>
      <t>, or not available.</t>
    </r>
  </si>
  <si>
    <t>From:</t>
  </si>
  <si>
    <t>https://www.eia.gov/analysis/studies/powerplants/capitalcost/pdf/capital_cost_AEO2025.pdf</t>
  </si>
  <si>
    <t>pg 24</t>
  </si>
  <si>
    <t xml:space="preserve">Table 1-2 — Cost &amp; Performance Summary Table </t>
  </si>
  <si>
    <t>Case
No.</t>
  </si>
  <si>
    <t>Technology</t>
  </si>
  <si>
    <t>Description</t>
  </si>
  <si>
    <t>Net
Nominal
Capacity
(kW)</t>
  </si>
  <si>
    <t>Net
Nominal
Heat Rate
(Btu/kWh)</t>
  </si>
  <si>
    <t>Capital Cost
($/kW)</t>
  </si>
  <si>
    <t>Fixed O&amp;M
Cost
($/kW-year)</t>
  </si>
  <si>
    <t>Variable
O&amp;M Cost
($/MWh)</t>
  </si>
  <si>
    <t>Nitrogen
Oxide
(NOx)
(lb/MMBtu)</t>
  </si>
  <si>
    <t>Sulfur
Dioxide
(SO_{2} )
(lb/MMBtu)</t>
  </si>
  <si>
    <t>Carbon
Dioxide
(CO_{2} )
(lb/MMBtu)</t>
  </si>
  <si>
    <t>USC Coal without Carbon
Capture – Greenfield</t>
  </si>
  <si>
    <t>1 x 735 MW
Gross</t>
  </si>
  <si>
    <t>8,638</t>
  </si>
  <si>
    <t>$4,103</t>
  </si>
  <si>
    <t>$6.40</t>
  </si>
  <si>
    <t>0.09</t>
  </si>
  <si>
    <t>USC Coal 95% Carbon
Capture</t>
  </si>
  <si>
    <t>1 x 819 MW
Gross</t>
  </si>
  <si>
    <t>12,293</t>
  </si>
  <si>
    <t>$7,346</t>
  </si>
  <si>
    <t>$13.73</t>
  </si>
  <si>
    <t>Aeroderivative CTs –
Simple Cycle</t>
  </si>
  <si>
    <t>4 x 54 MW Gross</t>
  </si>
  <si>
    <t>9,447</t>
  </si>
  <si>
    <t>$1,606</t>
  </si>
  <si>
    <t>$5.70</t>
  </si>
  <si>
    <t>0.00</t>
  </si>
  <si>
    <t>CTs – Simple Cycle</t>
  </si>
  <si>
    <t>1 x H-Class</t>
  </si>
  <si>
    <t>9,142</t>
  </si>
  <si>
    <t>$836</t>
  </si>
  <si>
    <t>$1.24/
MWh,
$23,100/
Start</t>
  </si>
  <si>
    <t>CC 2x2x1</t>
  </si>
  <si>
    <t>2 x 1 H Class</t>
  </si>
  <si>
    <t>6,266</t>
  </si>
  <si>
    <t>$868</t>
  </si>
  <si>
    <t>$3.41</t>
  </si>
  <si>
    <t>CC 1x1x1, Single Shaft</t>
  </si>
  <si>
    <t>1 x 1 H Class SS</t>
  </si>
  <si>
    <t>6,226</t>
  </si>
  <si>
    <t>$921</t>
  </si>
  <si>
    <t>$3.33</t>
  </si>
  <si>
    <t>CC 1x1x1, Single Shaft,
with 95% Carbon Capture</t>
  </si>
  <si>
    <t>7,239</t>
  </si>
  <si>
    <t>$2,365</t>
  </si>
  <si>
    <t>$5.05</t>
  </si>
  <si>
    <t>Biomass Plant with 95%
Carbon Capture</t>
  </si>
  <si>
    <t>1 x BFB</t>
  </si>
  <si>
    <t>19,965</t>
  </si>
  <si>
    <t>$12,631</t>
  </si>
  <si>
    <t>$9.65</t>
  </si>
  <si>
    <t>&lt;0.03</t>
  </si>
  <si>
    <t>Advanced Nuclear
(Brownfield)</t>
  </si>
  <si>
    <t>2 x AP1000</t>
  </si>
  <si>
    <t>10,608</t>
  </si>
  <si>
    <t>$7,861</t>
  </si>
  <si>
    <t>$2.52</t>
  </si>
  <si>
    <t>0</t>
  </si>
  <si>
    <t>Small Modular Reactor
Nuclear Power Plant</t>
  </si>
  <si>
    <t>6 x 80 MW Small
Modular Reactor</t>
  </si>
  <si>
    <t>10,046</t>
  </si>
  <si>
    <t>$8,936</t>
  </si>
  <si>
    <t>$3.19</t>
  </si>
  <si>
    <t>Binary Cycle</t>
  </si>
  <si>
    <t>N/A</t>
  </si>
  <si>
    <t>$3,963</t>
  </si>
  <si>
    <t>$0.00</t>
  </si>
  <si>
    <t>Hydroelectric Power Plant</t>
  </si>
  <si>
    <t>New Stream
Reach
Development</t>
  </si>
  <si>
    <t>$7,073</t>
  </si>
  <si>
    <t>Onshore Wind – Large
Plant Footprint: Great
Plains Region</t>
  </si>
  <si>
    <t>200 MW | 2.8 MW
WTG</t>
  </si>
  <si>
    <t>$1,489</t>
  </si>
  <si>
    <t>Onshore Wind –
Repowering/Retrofit</t>
  </si>
  <si>
    <t>150 MW | 1.5 -1.62 MW WTG</t>
  </si>
  <si>
    <t>$1,386</t>
  </si>
  <si>
    <t>Fixed-bottom Offshore
Wind: Monopile
Foundations</t>
  </si>
  <si>
    <t>900 MW | 15 MW
WTG</t>
  </si>
  <si>
    <t>$3,689</t>
  </si>
  <si>
    <t>Solar PV with Single-Axis
Tracking</t>
  </si>
  <si>
    <t>150 MW_{AC}</t>
  </si>
  <si>
    <t>$1,502</t>
  </si>
  <si>
    <t>Solar PV with Single-Axis
Tracking and AC-Coupled
Battery Storage</t>
  </si>
  <si>
    <t>150 MW_{AC} Solar
50 MW | 200
MWh Storage</t>
  </si>
  <si>
    <t>$2,175</t>
  </si>
  <si>
    <t>Solar PV with Single-Axis
Tracking and DC-Coupled
Battery Storage</t>
  </si>
  <si>
    <t>$2,561</t>
  </si>
  <si>
    <t>BESS</t>
  </si>
  <si>
    <t>Lithium Ion, 150
MW | 600 MWh</t>
  </si>
  <si>
    <t>$1,744,
($436/kWh)</t>
  </si>
  <si>
    <t>https://data.nrel.gov/submissions/171</t>
  </si>
  <si>
    <t>https://data.nrel.gov/system/files/171/EF_Table_FINAL.xlsx</t>
  </si>
  <si>
    <r>
      <t>Life Cycle Emissions Factors for Electricity Generation Technologies, by Life Cycle Phase (g CO</t>
    </r>
    <r>
      <rPr>
        <b/>
        <vertAlign val="subscript"/>
        <sz val="16"/>
        <color theme="1"/>
        <rFont val="Times New Roman"/>
        <family val="1"/>
      </rPr>
      <t>2</t>
    </r>
    <r>
      <rPr>
        <b/>
        <sz val="16"/>
        <color theme="1"/>
        <rFont val="Times New Roman"/>
        <family val="1"/>
      </rPr>
      <t>e / kWh)</t>
    </r>
  </si>
  <si>
    <t>Generation Technology</t>
  </si>
  <si>
    <t>One-Time Upstream</t>
  </si>
  <si>
    <t>Ongoing Combustion</t>
  </si>
  <si>
    <t>Ongoing Non-Combustion</t>
  </si>
  <si>
    <t>One-Time Downstream</t>
  </si>
  <si>
    <t>Total Life Cycle</t>
  </si>
  <si>
    <t>Reference(s)</t>
  </si>
  <si>
    <t>Notes</t>
  </si>
  <si>
    <t>Min</t>
  </si>
  <si>
    <t>1Q</t>
  </si>
  <si>
    <t>Med</t>
  </si>
  <si>
    <t>3Q</t>
  </si>
  <si>
    <t>Max</t>
  </si>
  <si>
    <t>References</t>
  </si>
  <si>
    <t>Estimates</t>
  </si>
  <si>
    <t>Renewable</t>
  </si>
  <si>
    <t>Biopower (All Technologies)</t>
  </si>
  <si>
    <t>NR</t>
  </si>
  <si>
    <t>57 (+2)</t>
  </si>
  <si>
    <t>276 (+4)</t>
  </si>
  <si>
    <t>EPRI 2013</t>
  </si>
  <si>
    <t>Co-firing</t>
  </si>
  <si>
    <t>Direct Combustion</t>
  </si>
  <si>
    <t>Gasification</t>
  </si>
  <si>
    <t>Gasification Engine</t>
  </si>
  <si>
    <t>Photovoltaic (All Technologies)</t>
  </si>
  <si>
    <t>--</t>
  </si>
  <si>
    <t>Hsu et al. 2012
Kim et al. 2012</t>
  </si>
  <si>
    <t>See https://www.nrel.gov/docs/fy13osti/56487.pdf for approximate apportionment of total to individual life cycle stages</t>
  </si>
  <si>
    <t>Photovoltaic - Thin Film (All Technologies)</t>
  </si>
  <si>
    <t>Kim et al. 2012</t>
  </si>
  <si>
    <t>a-Si</t>
  </si>
  <si>
    <t>CdTe</t>
  </si>
  <si>
    <t>CIGS</t>
  </si>
  <si>
    <t>Photovoltaic - Crystalline Silicon (All Technologies)</t>
  </si>
  <si>
    <t>Hsu et al. 2012</t>
  </si>
  <si>
    <t>mono-Si</t>
  </si>
  <si>
    <t>multi-Si</t>
  </si>
  <si>
    <t>Ground-mounted</t>
  </si>
  <si>
    <t>Roof-mounted</t>
  </si>
  <si>
    <t>Concentrating Solar Power (Trough and Tower)</t>
  </si>
  <si>
    <t>Burkhardt et al. 2012</t>
  </si>
  <si>
    <t>Parabolic Trough</t>
  </si>
  <si>
    <t>Power Tower</t>
  </si>
  <si>
    <t>Parabolic Dish</t>
  </si>
  <si>
    <t>Geothermal (All Technologies)</t>
  </si>
  <si>
    <t>Eberle et al. 2017</t>
  </si>
  <si>
    <t>EGS Binary</t>
  </si>
  <si>
    <t>HT Flash</t>
  </si>
  <si>
    <t>HT Binary</t>
  </si>
  <si>
    <t>Hydropower (All Technologies)</t>
  </si>
  <si>
    <t>Hydropower Vision Appendix G</t>
  </si>
  <si>
    <t>Obtained distribution data and kWh estimates from internal Excel spreadsheet</t>
  </si>
  <si>
    <t>Reservoir</t>
  </si>
  <si>
    <t>Run-of-River</t>
  </si>
  <si>
    <t>Ocean</t>
  </si>
  <si>
    <t>IPCC  2011</t>
  </si>
  <si>
    <t>Wind (All Technologies)</t>
  </si>
  <si>
    <t>Wind Vision Appendix J</t>
  </si>
  <si>
    <t>Land-based</t>
  </si>
  <si>
    <t>Offshore</t>
  </si>
  <si>
    <t>Non-renewable</t>
  </si>
  <si>
    <t>Nuclear - Light Water Reactor (LWR)</t>
  </si>
  <si>
    <t>Warner and Heath 2012</t>
  </si>
  <si>
    <t>Pressurized Water Reactor</t>
  </si>
  <si>
    <t>Boiling Water Reactor</t>
  </si>
  <si>
    <t>Nuclear - Non Light Water Reactor (non-LWR)</t>
  </si>
  <si>
    <t>Heavy Water Reactor</t>
  </si>
  <si>
    <t>Gas-Cooled Reactor</t>
  </si>
  <si>
    <t>Fast Breeder Reactor</t>
  </si>
  <si>
    <t>Fusion</t>
  </si>
  <si>
    <t>Natural Gas - Conventional Gas</t>
  </si>
  <si>
    <t>47 (+11)</t>
  </si>
  <si>
    <t>80 (+13)</t>
  </si>
  <si>
    <t>O'Donoughe et al. 2013</t>
  </si>
  <si>
    <t>NGCC</t>
  </si>
  <si>
    <t>NGCT</t>
  </si>
  <si>
    <t>NGCC-CCS</t>
  </si>
  <si>
    <t>LNGCC</t>
  </si>
  <si>
    <t>LNGCT</t>
  </si>
  <si>
    <t>Natural Gas - NGCC by Gas Source</t>
  </si>
  <si>
    <t>Shale</t>
  </si>
  <si>
    <t>Heath et al. 2014</t>
  </si>
  <si>
    <t>Unconventional</t>
  </si>
  <si>
    <t>US Domestic</t>
  </si>
  <si>
    <t>Conventional</t>
  </si>
  <si>
    <t>Oil</t>
  </si>
  <si>
    <t>Coal (All Technologies)</t>
  </si>
  <si>
    <t>&lt;5</t>
  </si>
  <si>
    <t>53 (+9)</t>
  </si>
  <si>
    <t>164 (+11)</t>
  </si>
  <si>
    <t>Whitaker et al. 2014</t>
  </si>
  <si>
    <t>Pulverized Subcritical</t>
  </si>
  <si>
    <t>IGCC</t>
  </si>
  <si>
    <t>Fluidized Bed</t>
  </si>
  <si>
    <t>Pulverized Supercitical</t>
  </si>
  <si>
    <t>Pumped-Storage Hydropower</t>
  </si>
  <si>
    <t>Li-Ion Battery Storage</t>
  </si>
  <si>
    <t>Hiremath et al. 2015
Baumann et al. 2017
Vandepaer et al. 2018</t>
  </si>
  <si>
    <t>Downstream is only reported by one source (Vandepaer et al. 2018)</t>
  </si>
  <si>
    <t>Hydrogen Storage</t>
  </si>
  <si>
    <t>Khan et al. 2005</t>
  </si>
  <si>
    <t>Only one source (Khan et al. 2005) met screening criteria and reported estimates per unit of generation
 95% confidence interval of summed sensitivity results</t>
  </si>
  <si>
    <t>IEA</t>
  </si>
  <si>
    <t>Projected Costs of Generating Electricity 2020 Edition</t>
  </si>
  <si>
    <t>https://iea.blob.core.windows.net/assets/ae17da3d-e8a5-4163-a3ec-2e6fb0b5677d/Projected-Costs-of-Generating-Electricity-2020.pdf</t>
  </si>
  <si>
    <t>Page 87:</t>
  </si>
  <si>
    <t>Each technology is assumed to have a different expected lifetime. The technologies under scrutiny in this section are expected to last from 60 years for nuclear plants to 40 and 30 years for coal and gas plants respectively. Wind and solar PV installations have been allocated an expected lifetime of 25 years.</t>
  </si>
  <si>
    <t>NREL</t>
  </si>
  <si>
    <t>https://docs.nrel.gov/docs/fy25osti/93281.pdf</t>
  </si>
  <si>
    <t>Page 12:</t>
  </si>
  <si>
    <r>
      <t xml:space="preserve">The lifetime we selected is </t>
    </r>
    <r>
      <rPr>
        <b/>
        <sz val="11"/>
        <color theme="1"/>
        <rFont val="Aptos Narrow"/>
        <family val="2"/>
        <scheme val="minor"/>
      </rPr>
      <t xml:space="preserve">15 </t>
    </r>
    <r>
      <rPr>
        <sz val="11"/>
        <color theme="1"/>
        <rFont val="Aptos Narrow"/>
        <family val="2"/>
        <scheme val="minor"/>
      </rPr>
      <t xml:space="preserve">years, which is on the lower end of published values. This is a conservative choice, which we make because of the uncertainty in battery lifetimes (existing 4- hour batteries are all new, so no system has yet reached 15 or more years). The round-trip efficiency is chosen to be </t>
    </r>
    <r>
      <rPr>
        <b/>
        <sz val="11"/>
        <color theme="1"/>
        <rFont val="Aptos Narrow"/>
        <family val="2"/>
        <scheme val="minor"/>
      </rPr>
      <t>85%</t>
    </r>
    <r>
      <rPr>
        <sz val="11"/>
        <color theme="1"/>
        <rFont val="Aptos Narrow"/>
        <family val="2"/>
        <scheme val="minor"/>
      </rPr>
      <t>, which is well aligned with published values.</t>
    </r>
  </si>
  <si>
    <t>Storage Efficiency</t>
  </si>
  <si>
    <t>https://www.eia.gov/totalenergy/data/browser/xls.php?tbl=T07.07a&amp;freq=m</t>
  </si>
  <si>
    <t>From</t>
  </si>
  <si>
    <t>https://www.eia.gov/totalenergy/data/annual/</t>
  </si>
  <si>
    <t>Electricity</t>
  </si>
  <si>
    <t>8.11a</t>
  </si>
  <si>
    <t>U.S. Energy Information Administration</t>
  </si>
  <si>
    <t>July 2025 Monthly Energy Review</t>
  </si>
  <si>
    <t>Note: Information about data precision.</t>
  </si>
  <si>
    <t>Release Date: July 28, 2025</t>
  </si>
  <si>
    <t>Next Update: August 26, 2025</t>
  </si>
  <si>
    <t>Table 7.7a Electric Net Summer Capacity: Total (All Sectors)</t>
  </si>
  <si>
    <t>End of Year</t>
  </si>
  <si>
    <t xml:space="preserve">Coal, Net Summer Capacity </t>
  </si>
  <si>
    <t>Petroleum, Net Summer Capacity</t>
  </si>
  <si>
    <t xml:space="preserve">Natural Gas, Net Summer Capacity </t>
  </si>
  <si>
    <t>Fossil Fuels, Net Summer Capacity</t>
  </si>
  <si>
    <t>Nuclear Electric Power, Net Summer Capacity</t>
  </si>
  <si>
    <t>Hydroelectric Pumped Storage, Net Summer Capacity</t>
  </si>
  <si>
    <t>Conventional Hydroelectric Power, Net Summer Capacity</t>
  </si>
  <si>
    <t>Wood, Net Summer Capacity</t>
  </si>
  <si>
    <t>Waste, Net Summer Capacity</t>
  </si>
  <si>
    <t>Geothermal, Net Summer Capacity</t>
  </si>
  <si>
    <t xml:space="preserve">Solar, Net Summer Capacity </t>
  </si>
  <si>
    <t>Wind, Net Summer Capacity</t>
  </si>
  <si>
    <t xml:space="preserve">Renewable Energy, Net Summer Capacity </t>
  </si>
  <si>
    <t>Battery Storage, Net Summer Capacity</t>
  </si>
  <si>
    <t>Total Electric, Net Summer Capacity</t>
  </si>
  <si>
    <t>(Million Kilowatts)</t>
  </si>
  <si>
    <t>Not Available</t>
  </si>
  <si>
    <t>Change = (NRG_This_Year - NRG_Last_Year)/Total_This_Year</t>
  </si>
  <si>
    <t xml:space="preserve">Coal </t>
  </si>
  <si>
    <t>Petroleum</t>
  </si>
  <si>
    <t xml:space="preserve">Natural Gas </t>
  </si>
  <si>
    <t>Fossil Fuels</t>
  </si>
  <si>
    <t>Nuclear Electric Power</t>
  </si>
  <si>
    <t>Hydroelectric Pumped Storage</t>
  </si>
  <si>
    <t>Conventional Hydroelectric Power</t>
  </si>
  <si>
    <t>Wood</t>
  </si>
  <si>
    <t>Waste</t>
  </si>
  <si>
    <t xml:space="preserve">Solar </t>
  </si>
  <si>
    <t xml:space="preserve">Renewable Energy </t>
  </si>
  <si>
    <t>Battery Storage</t>
  </si>
  <si>
    <t>Total Electric</t>
  </si>
  <si>
    <t>Max Change</t>
  </si>
  <si>
    <t>https://www.eia.gov/outlooks/aeo/electricity_generation/xls/AEO2023_LCOE-LCOS-LACE_figures.xlsx</t>
  </si>
  <si>
    <t>resources entering service in 2028, AEO2023 Reference case (2022 dollars per megawatthour)</t>
  </si>
  <si>
    <t>Ultra-super critical coal</t>
  </si>
  <si>
    <r>
      <t xml:space="preserve">Data source:  U.S. Energy Information Administration, </t>
    </r>
    <r>
      <rPr>
        <i/>
        <sz val="9"/>
        <color theme="1"/>
        <rFont val="Aptos Narrow"/>
        <family val="2"/>
        <scheme val="minor"/>
      </rPr>
      <t>Annual Energy Outlook 2023</t>
    </r>
  </si>
  <si>
    <t>Battery_unique</t>
  </si>
  <si>
    <t>Efficiency</t>
  </si>
  <si>
    <t>Hours</t>
  </si>
  <si>
    <t>Bess (Battery) is per kW Max Output</t>
  </si>
  <si>
    <t>Years</t>
  </si>
  <si>
    <t>per year</t>
  </si>
  <si>
    <t>Generated from ..\Calc\Specs_Gen.xlsm</t>
  </si>
  <si>
    <t>Fixed Cost B$/GW-year</t>
  </si>
  <si>
    <t>Variable Costs B$/TWh</t>
  </si>
  <si>
    <t>Fixed Costs $/MW</t>
  </si>
  <si>
    <t>CO2e Mtonnes/GWh</t>
  </si>
  <si>
    <t>Thousand</t>
  </si>
  <si>
    <t>Million</t>
  </si>
  <si>
    <t>Billion</t>
  </si>
  <si>
    <t>Trillion</t>
  </si>
  <si>
    <t>B$</t>
  </si>
  <si>
    <t>Mtons/GWh</t>
  </si>
  <si>
    <t>Units</t>
  </si>
  <si>
    <t>Round-Trip</t>
  </si>
  <si>
    <t>Capital_Total_M$_MW</t>
  </si>
  <si>
    <t>Fixed_M$_MW</t>
  </si>
  <si>
    <t>Variable_M$_MWh</t>
  </si>
  <si>
    <t>CO2_MT_MWh</t>
  </si>
  <si>
    <t>Capital M$/MW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</si>
</sst>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0.00_);[Red]\(&quot;$&quot;#,##0.00\)"/>
    <numFmt numFmtId="43" formatCode="_(* #,##0.00_);_(* \(#,##0.00\);_(* &quot;-&quot;??_);_(@_)"/>
    <numFmt numFmtId="164" formatCode="#,##0.000"/>
    <numFmt numFmtId="165" formatCode="0.000E+00"/>
    <numFmt numFmtId="166" formatCode="#,##0.0000"/>
    <numFmt numFmtId="167" formatCode="0.0%"/>
    <numFmt numFmtId="168" formatCode="&quot;$&quot;#,##0.00"/>
    <numFmt numFmtId="169" formatCode="_(* #,##0_);_(* \(#,##0\);_(* &quot;-&quot;??_);_(@_)"/>
    <numFmt numFmtId="170" formatCode="_(* #,##0.0_);_(* \(#,##0.0\);_(* &quot;-&quot;??_);_(@_)"/>
    <numFmt numFmtId="171" formatCode="_(* #,##0.0000_);_(* \(#,##0.0000\);_(* &quot;-&quot;??_);_(@_)"/>
    <numFmt numFmtId="172" formatCode="0.0"/>
    <numFmt numFmtId="173" formatCode="0.000"/>
  </numFmts>
  <fonts count="29" x14ac:knownFonts="1">
    <font>
      <sz val="11"/>
      <color theme="1"/>
      <name val="Aptos Narrow"/>
      <family val="2"/>
      <scheme val="minor"/>
    </font>
    <font>
      <sz val="11"/>
      <color theme="1"/>
      <name val="Aptos Narrow"/>
      <family val="2"/>
      <scheme val="minor"/>
    </font>
    <font>
      <sz val="11"/>
      <color rgb="FF9C0006"/>
      <name val="Aptos Narrow"/>
      <family val="2"/>
      <scheme val="minor"/>
    </font>
    <font>
      <b/>
      <sz val="11"/>
      <color theme="0"/>
      <name val="Aptos Narrow"/>
      <family val="2"/>
      <scheme val="minor"/>
    </font>
    <font>
      <b/>
      <sz val="11"/>
      <color theme="1"/>
      <name val="Aptos Narrow"/>
      <family val="2"/>
      <scheme val="minor"/>
    </font>
    <font>
      <b/>
      <sz val="10"/>
      <color indexed="81"/>
      <name val="Tahoma"/>
      <family val="2"/>
    </font>
    <font>
      <sz val="10"/>
      <color indexed="81"/>
      <name val="Tahoma"/>
      <family val="2"/>
    </font>
    <font>
      <b/>
      <sz val="12"/>
      <color theme="4"/>
      <name val="Aptos Narrow"/>
      <family val="2"/>
      <scheme val="minor"/>
    </font>
    <font>
      <sz val="9"/>
      <color theme="1"/>
      <name val="Aptos Narrow"/>
      <family val="2"/>
      <scheme val="minor"/>
    </font>
    <font>
      <b/>
      <sz val="9"/>
      <color theme="1"/>
      <name val="Aptos Narrow"/>
      <family val="2"/>
      <scheme val="minor"/>
    </font>
    <font>
      <i/>
      <sz val="9"/>
      <color theme="0" tint="-0.34998626667073579"/>
      <name val="Aptos Narrow"/>
      <family val="2"/>
      <scheme val="minor"/>
    </font>
    <font>
      <i/>
      <sz val="9"/>
      <color theme="1"/>
      <name val="Aptos Narrow"/>
      <family val="2"/>
      <scheme val="minor"/>
    </font>
    <font>
      <u/>
      <sz val="11"/>
      <color theme="10"/>
      <name val="Aptos Narrow"/>
      <family val="2"/>
      <scheme val="minor"/>
    </font>
    <font>
      <b/>
      <sz val="16"/>
      <name val="Times New Roman"/>
      <family val="1"/>
    </font>
    <font>
      <b/>
      <vertAlign val="subscript"/>
      <sz val="16"/>
      <color theme="1"/>
      <name val="Times New Roman"/>
      <family val="1"/>
    </font>
    <font>
      <b/>
      <sz val="16"/>
      <color theme="1"/>
      <name val="Times New Roman"/>
      <family val="1"/>
    </font>
    <font>
      <sz val="11"/>
      <color theme="1"/>
      <name val="Times New Roman"/>
      <family val="1"/>
    </font>
    <font>
      <b/>
      <sz val="11"/>
      <color rgb="FF000000"/>
      <name val="Times New Roman"/>
      <family val="1"/>
    </font>
    <font>
      <b/>
      <sz val="11"/>
      <name val="Times New Roman"/>
      <family val="1"/>
    </font>
    <font>
      <b/>
      <sz val="11"/>
      <color theme="1"/>
      <name val="Times New Roman"/>
      <family val="1"/>
    </font>
    <font>
      <sz val="11"/>
      <name val="Times New Roman"/>
      <family val="1"/>
    </font>
    <font>
      <sz val="11"/>
      <color theme="0" tint="-0.34998626667073579"/>
      <name val="Times New Roman"/>
      <family val="1"/>
    </font>
    <font>
      <sz val="11"/>
      <name val="Aptos Narrow"/>
      <family val="2"/>
      <scheme val="minor"/>
    </font>
    <font>
      <sz val="11"/>
      <color rgb="FF000000"/>
      <name val="Calibri"/>
      <family val="2"/>
    </font>
    <font>
      <b/>
      <sz val="14"/>
      <color rgb="FF000000"/>
      <name val="Calibri"/>
      <family val="2"/>
    </font>
    <font>
      <i/>
      <sz val="14"/>
      <color rgb="FF000000"/>
      <name val="Calibri"/>
      <family val="2"/>
    </font>
    <font>
      <b/>
      <u/>
      <sz val="10"/>
      <color rgb="FF0000FF"/>
      <name val="Calibri"/>
      <family val="2"/>
    </font>
    <font>
      <b/>
      <sz val="12"/>
      <color rgb="FF000000"/>
      <name val="Calibri"/>
      <family val="2"/>
    </font>
    <font>
      <b/>
      <sz val="10"/>
      <color rgb="FF000000"/>
      <name val="Calibri"/>
      <family val="2"/>
    </font>
  </fonts>
  <fills count="10">
    <fill>
      <patternFill patternType="none"/>
    </fill>
    <fill>
      <patternFill patternType="gray125"/>
    </fill>
    <fill>
      <patternFill patternType="solid">
        <fgColor rgb="FFFFC7CE"/>
      </patternFill>
    </fill>
    <fill>
      <patternFill patternType="solid">
        <fgColor rgb="FFFFFF00"/>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57">
    <border>
      <left/>
      <right/>
      <top/>
      <bottom/>
      <diagonal/>
    </border>
    <border>
      <left/>
      <right/>
      <top/>
      <bottom style="thick">
        <color theme="4"/>
      </bottom>
      <diagonal/>
    </border>
    <border>
      <left/>
      <right/>
      <top style="thin">
        <color theme="4"/>
      </top>
      <bottom style="thin">
        <color theme="0" tint="-0.24994659260841701"/>
      </bottom>
      <diagonal/>
    </border>
    <border>
      <left/>
      <right/>
      <top/>
      <bottom style="dashed">
        <color theme="0" tint="-0.24994659260841701"/>
      </bottom>
      <diagonal/>
    </border>
    <border>
      <left/>
      <right/>
      <top style="medium">
        <color theme="4"/>
      </top>
      <bottom/>
      <diagonal/>
    </border>
    <border>
      <left style="thin">
        <color theme="9" tint="0.39997558519241921"/>
      </left>
      <right/>
      <top style="thin">
        <color theme="9" tint="0.39997558519241921"/>
      </top>
      <bottom/>
      <diagonal/>
    </border>
    <border>
      <left/>
      <right/>
      <top style="thin">
        <color theme="9" tint="0.39997558519241921"/>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2">
    <xf numFmtId="0" fontId="0" fillId="0" borderId="0"/>
    <xf numFmtId="9" fontId="1" fillId="0" borderId="0" applyFont="0" applyFill="0" applyBorder="0" applyAlignment="0" applyProtection="0"/>
    <xf numFmtId="0" fontId="2" fillId="2" borderId="0" applyNumberFormat="0" applyBorder="0" applyAlignment="0" applyProtection="0"/>
    <xf numFmtId="0" fontId="7" fillId="0" borderId="0" applyNumberFormat="0" applyProtection="0">
      <alignment horizontal="left"/>
    </xf>
    <xf numFmtId="0" fontId="8" fillId="0" borderId="0" applyNumberFormat="0" applyFill="0" applyBorder="0" applyAlignment="0" applyProtection="0"/>
    <xf numFmtId="0" fontId="9" fillId="0" borderId="1" applyNumberFormat="0" applyProtection="0">
      <alignment wrapText="1"/>
    </xf>
    <xf numFmtId="0" fontId="9" fillId="0" borderId="2" applyNumberFormat="0" applyFill="0" applyProtection="0">
      <alignment wrapText="1"/>
    </xf>
    <xf numFmtId="0" fontId="8" fillId="0" borderId="3" applyNumberFormat="0" applyFont="0" applyProtection="0">
      <alignment wrapText="1"/>
    </xf>
    <xf numFmtId="0" fontId="8" fillId="0" borderId="4" applyNumberFormat="0" applyProtection="0">
      <alignment vertical="top"/>
    </xf>
    <xf numFmtId="0" fontId="12" fillId="0" borderId="0" applyNumberFormat="0" applyFill="0" applyBorder="0" applyAlignment="0" applyProtection="0"/>
    <xf numFmtId="0" fontId="23" fillId="0" borderId="0"/>
    <xf numFmtId="9" fontId="1" fillId="0" borderId="0" applyFont="0" applyFill="0" applyBorder="0" applyAlignment="0" applyProtection="0"/>
  </cellStyleXfs>
  <cellXfs count="304">
    <xf numFmtId="0" fontId="0" fillId="0" borderId="0" xfId="0"/>
    <xf numFmtId="0" fontId="4" fillId="0" borderId="0" xfId="0" applyFont="1"/>
    <xf numFmtId="3" fontId="4" fillId="0" borderId="0" xfId="0" applyNumberFormat="1" applyFont="1"/>
    <xf numFmtId="0" fontId="4" fillId="0" borderId="0" xfId="0" applyFont="1" applyAlignment="1">
      <alignment wrapText="1"/>
    </xf>
    <xf numFmtId="3" fontId="4" fillId="0" borderId="0" xfId="0" applyNumberFormat="1" applyFont="1" applyAlignment="1">
      <alignment wrapText="1"/>
    </xf>
    <xf numFmtId="3" fontId="0" fillId="0" borderId="0" xfId="0" applyNumberFormat="1"/>
    <xf numFmtId="164" fontId="0" fillId="3" borderId="0" xfId="0" applyNumberFormat="1" applyFill="1"/>
    <xf numFmtId="4" fontId="0" fillId="0" borderId="0" xfId="0" applyNumberFormat="1"/>
    <xf numFmtId="3" fontId="0" fillId="0" borderId="0" xfId="0" applyNumberFormat="1" applyAlignment="1">
      <alignment wrapText="1"/>
    </xf>
    <xf numFmtId="0" fontId="0" fillId="0" borderId="0" xfId="0" applyAlignment="1">
      <alignment wrapText="1"/>
    </xf>
    <xf numFmtId="8" fontId="0" fillId="0" borderId="0" xfId="0" applyNumberFormat="1"/>
    <xf numFmtId="165" fontId="0" fillId="3" borderId="0" xfId="0" applyNumberFormat="1" applyFill="1"/>
    <xf numFmtId="165" fontId="0" fillId="0" borderId="0" xfId="0" applyNumberFormat="1"/>
    <xf numFmtId="3" fontId="0" fillId="3" borderId="0" xfId="0" applyNumberFormat="1" applyFill="1"/>
    <xf numFmtId="0" fontId="0" fillId="3" borderId="0" xfId="0" applyFill="1"/>
    <xf numFmtId="10" fontId="0" fillId="3" borderId="0" xfId="0" applyNumberFormat="1" applyFill="1"/>
    <xf numFmtId="166" fontId="0" fillId="0" borderId="0" xfId="0" applyNumberFormat="1"/>
    <xf numFmtId="10" fontId="0" fillId="0" borderId="0" xfId="0" applyNumberFormat="1"/>
    <xf numFmtId="11" fontId="0" fillId="0" borderId="0" xfId="0" applyNumberFormat="1"/>
    <xf numFmtId="167" fontId="0" fillId="0" borderId="0" xfId="0" applyNumberFormat="1"/>
    <xf numFmtId="0" fontId="7" fillId="0" borderId="0" xfId="3">
      <alignment horizontal="left"/>
    </xf>
    <xf numFmtId="0" fontId="8" fillId="0" borderId="0" xfId="4" applyFill="1"/>
    <xf numFmtId="0" fontId="9" fillId="0" borderId="1" xfId="5">
      <alignment wrapText="1"/>
    </xf>
    <xf numFmtId="0" fontId="9" fillId="0" borderId="2" xfId="6" applyFill="1">
      <alignment wrapText="1"/>
    </xf>
    <xf numFmtId="0" fontId="8" fillId="0" borderId="3" xfId="7" applyAlignment="1">
      <alignment horizontal="left" wrapText="1" indent="1"/>
    </xf>
    <xf numFmtId="9" fontId="8" fillId="0" borderId="3" xfId="1" applyFont="1" applyFill="1" applyBorder="1" applyAlignment="1">
      <alignment wrapText="1"/>
    </xf>
    <xf numFmtId="168" fontId="8" fillId="0" borderId="3" xfId="7" applyNumberFormat="1">
      <alignment wrapText="1"/>
    </xf>
    <xf numFmtId="168" fontId="10" fillId="0" borderId="3" xfId="7" applyNumberFormat="1" applyFont="1" applyAlignment="1">
      <alignment horizontal="right" wrapText="1"/>
    </xf>
    <xf numFmtId="0" fontId="9" fillId="0" borderId="2" xfId="6" applyFill="1" applyAlignment="1"/>
    <xf numFmtId="1" fontId="9" fillId="0" borderId="2" xfId="6" applyNumberFormat="1" applyFill="1">
      <alignment wrapText="1"/>
    </xf>
    <xf numFmtId="168" fontId="9" fillId="0" borderId="2" xfId="6" applyNumberFormat="1" applyFill="1">
      <alignment wrapText="1"/>
    </xf>
    <xf numFmtId="0" fontId="8" fillId="0" borderId="4" xfId="8">
      <alignment vertical="top"/>
    </xf>
    <xf numFmtId="0" fontId="8" fillId="0" borderId="4" xfId="4" applyFill="1" applyBorder="1" applyAlignment="1">
      <alignment vertical="top" wrapText="1"/>
    </xf>
    <xf numFmtId="0" fontId="12" fillId="0" borderId="0" xfId="9"/>
    <xf numFmtId="0" fontId="3" fillId="4" borderId="5" xfId="0" applyFont="1" applyFill="1" applyBorder="1" applyAlignment="1">
      <alignment horizontal="right" wrapText="1"/>
    </xf>
    <xf numFmtId="0" fontId="3" fillId="4" borderId="6" xfId="0" applyFont="1" applyFill="1" applyBorder="1" applyAlignment="1">
      <alignment horizontal="right" wrapText="1"/>
    </xf>
    <xf numFmtId="0" fontId="0" fillId="5" borderId="5" xfId="0" applyFill="1" applyBorder="1"/>
    <xf numFmtId="0" fontId="0" fillId="5" borderId="6" xfId="0" applyFill="1" applyBorder="1"/>
    <xf numFmtId="0" fontId="0" fillId="0" borderId="5" xfId="0" applyBorder="1"/>
    <xf numFmtId="0" fontId="0" fillId="0" borderId="6" xfId="0" applyBorder="1"/>
    <xf numFmtId="0" fontId="0" fillId="5" borderId="7" xfId="0" applyFill="1" applyBorder="1"/>
    <xf numFmtId="0" fontId="0" fillId="5" borderId="8" xfId="0" applyFill="1" applyBorder="1"/>
    <xf numFmtId="0" fontId="0" fillId="5" borderId="8" xfId="0" applyFill="1" applyBorder="1" applyAlignment="1">
      <alignment wrapText="1"/>
    </xf>
    <xf numFmtId="0" fontId="17" fillId="6" borderId="23" xfId="0" applyFont="1" applyFill="1" applyBorder="1" applyAlignment="1">
      <alignment horizontal="center" vertical="top"/>
    </xf>
    <xf numFmtId="0" fontId="17" fillId="6" borderId="24" xfId="0" applyFont="1" applyFill="1" applyBorder="1" applyAlignment="1">
      <alignment horizontal="center" vertical="top"/>
    </xf>
    <xf numFmtId="0" fontId="17" fillId="6" borderId="25" xfId="0" applyFont="1" applyFill="1" applyBorder="1" applyAlignment="1">
      <alignment horizontal="center" vertical="top"/>
    </xf>
    <xf numFmtId="0" fontId="19" fillId="0" borderId="12" xfId="0" applyFont="1" applyBorder="1" applyAlignment="1">
      <alignment horizontal="right" vertical="center" textRotation="90"/>
    </xf>
    <xf numFmtId="0" fontId="20" fillId="7" borderId="16" xfId="9" applyFont="1" applyFill="1" applyBorder="1" applyAlignment="1">
      <alignment vertical="center"/>
    </xf>
    <xf numFmtId="0" fontId="21" fillId="7" borderId="28" xfId="0" applyFont="1" applyFill="1" applyBorder="1" applyAlignment="1">
      <alignment horizontal="right" vertical="center"/>
    </xf>
    <xf numFmtId="0" fontId="21" fillId="7" borderId="29" xfId="0" applyFont="1" applyFill="1" applyBorder="1" applyAlignment="1">
      <alignment horizontal="right" vertical="center"/>
    </xf>
    <xf numFmtId="0" fontId="20" fillId="7" borderId="28" xfId="0" applyFont="1" applyFill="1" applyBorder="1" applyAlignment="1">
      <alignment horizontal="right" vertical="center"/>
    </xf>
    <xf numFmtId="0" fontId="20" fillId="7" borderId="29" xfId="0" applyFont="1" applyFill="1" applyBorder="1" applyAlignment="1">
      <alignment horizontal="right" vertical="center"/>
    </xf>
    <xf numFmtId="0" fontId="20" fillId="7" borderId="15" xfId="9" applyFont="1" applyFill="1" applyBorder="1" applyAlignment="1">
      <alignment horizontal="center" vertical="center"/>
    </xf>
    <xf numFmtId="0" fontId="20" fillId="7" borderId="30" xfId="9" applyFont="1" applyFill="1" applyBorder="1" applyAlignment="1">
      <alignment horizontal="center" vertical="center"/>
    </xf>
    <xf numFmtId="0" fontId="20" fillId="7" borderId="20" xfId="9" applyFont="1" applyFill="1" applyBorder="1" applyAlignment="1">
      <alignment vertical="center"/>
    </xf>
    <xf numFmtId="0" fontId="0" fillId="0" borderId="31" xfId="0" applyBorder="1"/>
    <xf numFmtId="0" fontId="19" fillId="0" borderId="31" xfId="0" applyFont="1" applyBorder="1" applyAlignment="1">
      <alignment horizontal="right" vertical="center" textRotation="90"/>
    </xf>
    <xf numFmtId="0" fontId="20" fillId="0" borderId="32" xfId="9" applyFont="1" applyBorder="1" applyAlignment="1">
      <alignment horizontal="right" vertical="center"/>
    </xf>
    <xf numFmtId="0" fontId="21" fillId="0" borderId="33" xfId="2" applyFont="1" applyFill="1" applyBorder="1" applyAlignment="1">
      <alignment horizontal="right" vertical="center"/>
    </xf>
    <xf numFmtId="0" fontId="21" fillId="0" borderId="34" xfId="2" applyFont="1" applyFill="1" applyBorder="1" applyAlignment="1">
      <alignment horizontal="right" vertical="center"/>
    </xf>
    <xf numFmtId="0" fontId="20" fillId="0" borderId="33" xfId="2" applyFont="1" applyFill="1" applyBorder="1" applyAlignment="1">
      <alignment horizontal="right" vertical="center"/>
    </xf>
    <xf numFmtId="0" fontId="20" fillId="0" borderId="34" xfId="2" applyFont="1" applyFill="1" applyBorder="1" applyAlignment="1">
      <alignment horizontal="right" vertical="center"/>
    </xf>
    <xf numFmtId="0" fontId="20" fillId="0" borderId="35" xfId="2" applyFont="1" applyFill="1" applyBorder="1" applyAlignment="1">
      <alignment horizontal="right" vertical="center"/>
    </xf>
    <xf numFmtId="0" fontId="20" fillId="0" borderId="36" xfId="2" applyFont="1" applyFill="1" applyBorder="1" applyAlignment="1">
      <alignment horizontal="right" vertical="center"/>
    </xf>
    <xf numFmtId="0" fontId="20" fillId="0" borderId="37" xfId="9" applyFont="1" applyFill="1" applyBorder="1" applyAlignment="1">
      <alignment vertical="center"/>
    </xf>
    <xf numFmtId="0" fontId="20" fillId="7" borderId="32" xfId="0" applyFont="1" applyFill="1" applyBorder="1" applyAlignment="1">
      <alignment horizontal="left" vertical="center"/>
    </xf>
    <xf numFmtId="0" fontId="21" fillId="7" borderId="33" xfId="2" applyFont="1" applyFill="1" applyBorder="1" applyAlignment="1">
      <alignment horizontal="right" vertical="center"/>
    </xf>
    <xf numFmtId="0" fontId="21" fillId="7" borderId="34" xfId="2" applyFont="1" applyFill="1" applyBorder="1" applyAlignment="1">
      <alignment horizontal="right" vertical="center"/>
    </xf>
    <xf numFmtId="0" fontId="21" fillId="7" borderId="34" xfId="0" applyFont="1" applyFill="1" applyBorder="1" applyAlignment="1">
      <alignment horizontal="right" vertical="center"/>
    </xf>
    <xf numFmtId="0" fontId="21" fillId="7" borderId="33" xfId="0" quotePrefix="1" applyFont="1" applyFill="1" applyBorder="1" applyAlignment="1">
      <alignment horizontal="right" vertical="center"/>
    </xf>
    <xf numFmtId="0" fontId="21" fillId="7" borderId="34" xfId="0" quotePrefix="1" applyFont="1" applyFill="1" applyBorder="1" applyAlignment="1">
      <alignment horizontal="right" vertical="center"/>
    </xf>
    <xf numFmtId="1" fontId="20" fillId="7" borderId="33" xfId="2" applyNumberFormat="1" applyFont="1" applyFill="1" applyBorder="1" applyAlignment="1">
      <alignment horizontal="right" vertical="center"/>
    </xf>
    <xf numFmtId="0" fontId="20" fillId="7" borderId="34" xfId="2" applyFont="1" applyFill="1" applyBorder="1" applyAlignment="1">
      <alignment horizontal="right" vertical="center"/>
    </xf>
    <xf numFmtId="1" fontId="20" fillId="7" borderId="34" xfId="2" applyNumberFormat="1" applyFont="1" applyFill="1" applyBorder="1" applyAlignment="1">
      <alignment horizontal="right" vertical="center"/>
    </xf>
    <xf numFmtId="0" fontId="20" fillId="7" borderId="34" xfId="9" applyFont="1" applyFill="1" applyBorder="1" applyAlignment="1">
      <alignment vertical="center" wrapText="1"/>
    </xf>
    <xf numFmtId="0" fontId="20" fillId="7" borderId="36" xfId="9" applyFont="1" applyFill="1" applyBorder="1" applyAlignment="1">
      <alignment vertical="center" wrapText="1"/>
    </xf>
    <xf numFmtId="0" fontId="20" fillId="7" borderId="37" xfId="9" applyFont="1" applyFill="1" applyBorder="1" applyAlignment="1">
      <alignment vertical="center" wrapText="1"/>
    </xf>
    <xf numFmtId="0" fontId="20" fillId="7" borderId="32" xfId="0" applyFont="1" applyFill="1" applyBorder="1" applyAlignment="1">
      <alignment horizontal="right" vertical="center"/>
    </xf>
    <xf numFmtId="0" fontId="20" fillId="7" borderId="33" xfId="2" applyFont="1" applyFill="1" applyBorder="1" applyAlignment="1">
      <alignment horizontal="right" vertical="center"/>
    </xf>
    <xf numFmtId="0" fontId="20" fillId="7" borderId="35" xfId="2" applyFont="1" applyFill="1" applyBorder="1" applyAlignment="1">
      <alignment horizontal="right" vertical="center"/>
    </xf>
    <xf numFmtId="0" fontId="20" fillId="7" borderId="36" xfId="2" applyFont="1" applyFill="1" applyBorder="1" applyAlignment="1">
      <alignment horizontal="right" vertical="center"/>
    </xf>
    <xf numFmtId="0" fontId="20" fillId="7" borderId="37" xfId="9" applyFont="1" applyFill="1" applyBorder="1" applyAlignment="1">
      <alignment vertical="center"/>
    </xf>
    <xf numFmtId="0" fontId="20" fillId="0" borderId="32" xfId="0" applyFont="1" applyBorder="1" applyAlignment="1">
      <alignment horizontal="right" vertical="center"/>
    </xf>
    <xf numFmtId="0" fontId="21" fillId="0" borderId="34" xfId="0" applyFont="1" applyBorder="1" applyAlignment="1">
      <alignment horizontal="right" vertical="center"/>
    </xf>
    <xf numFmtId="0" fontId="21" fillId="0" borderId="33" xfId="0" quotePrefix="1" applyFont="1" applyBorder="1" applyAlignment="1">
      <alignment horizontal="right" vertical="center"/>
    </xf>
    <xf numFmtId="0" fontId="21" fillId="0" borderId="34" xfId="0" quotePrefix="1" applyFont="1" applyBorder="1" applyAlignment="1">
      <alignment horizontal="right" vertical="center"/>
    </xf>
    <xf numFmtId="0" fontId="16" fillId="0" borderId="33" xfId="0" applyFont="1" applyBorder="1" applyAlignment="1">
      <alignment horizontal="right" vertical="center"/>
    </xf>
    <xf numFmtId="0" fontId="16" fillId="0" borderId="34" xfId="0" applyFont="1" applyBorder="1" applyAlignment="1">
      <alignment horizontal="right" vertical="center"/>
    </xf>
    <xf numFmtId="0" fontId="16" fillId="0" borderId="35" xfId="0" applyFont="1" applyBorder="1" applyAlignment="1">
      <alignment horizontal="right" vertical="center"/>
    </xf>
    <xf numFmtId="0" fontId="16" fillId="0" borderId="36" xfId="0" applyFont="1" applyBorder="1" applyAlignment="1">
      <alignment horizontal="right" vertical="center"/>
    </xf>
    <xf numFmtId="1" fontId="16" fillId="0" borderId="34" xfId="0" applyNumberFormat="1" applyFont="1" applyBorder="1" applyAlignment="1">
      <alignment horizontal="right" vertical="center"/>
    </xf>
    <xf numFmtId="1" fontId="16" fillId="0" borderId="35" xfId="0" applyNumberFormat="1" applyFont="1" applyBorder="1" applyAlignment="1">
      <alignment horizontal="right" vertical="center"/>
    </xf>
    <xf numFmtId="1" fontId="16" fillId="0" borderId="36" xfId="0" applyNumberFormat="1" applyFont="1" applyBorder="1" applyAlignment="1">
      <alignment horizontal="right" vertical="center"/>
    </xf>
    <xf numFmtId="0" fontId="20" fillId="8" borderId="37" xfId="9" applyFont="1" applyFill="1" applyBorder="1" applyAlignment="1">
      <alignment vertical="center"/>
    </xf>
    <xf numFmtId="169" fontId="20" fillId="7" borderId="33" xfId="2" applyNumberFormat="1" applyFont="1" applyFill="1" applyBorder="1" applyAlignment="1">
      <alignment horizontal="right" vertical="center"/>
    </xf>
    <xf numFmtId="169" fontId="20" fillId="7" borderId="34" xfId="2" applyNumberFormat="1" applyFont="1" applyFill="1" applyBorder="1" applyAlignment="1">
      <alignment horizontal="right" vertical="center"/>
    </xf>
    <xf numFmtId="169" fontId="20" fillId="7" borderId="34" xfId="0" applyNumberFormat="1" applyFont="1" applyFill="1" applyBorder="1" applyAlignment="1">
      <alignment horizontal="right" vertical="center"/>
    </xf>
    <xf numFmtId="170" fontId="20" fillId="7" borderId="33" xfId="2" applyNumberFormat="1" applyFont="1" applyFill="1" applyBorder="1" applyAlignment="1">
      <alignment horizontal="right" vertical="center"/>
    </xf>
    <xf numFmtId="170" fontId="20" fillId="7" borderId="34" xfId="2" applyNumberFormat="1" applyFont="1" applyFill="1" applyBorder="1" applyAlignment="1">
      <alignment horizontal="right" vertical="center"/>
    </xf>
    <xf numFmtId="171" fontId="20" fillId="7" borderId="33" xfId="2" applyNumberFormat="1" applyFont="1" applyFill="1" applyBorder="1" applyAlignment="1">
      <alignment horizontal="right" vertical="center"/>
    </xf>
    <xf numFmtId="43" fontId="20" fillId="7" borderId="34" xfId="2" applyNumberFormat="1" applyFont="1" applyFill="1" applyBorder="1" applyAlignment="1">
      <alignment horizontal="right" vertical="center"/>
    </xf>
    <xf numFmtId="43" fontId="20" fillId="7" borderId="34" xfId="0" applyNumberFormat="1" applyFont="1" applyFill="1" applyBorder="1" applyAlignment="1">
      <alignment horizontal="right" vertical="center"/>
    </xf>
    <xf numFmtId="169" fontId="20" fillId="0" borderId="33" xfId="2" applyNumberFormat="1" applyFont="1" applyFill="1" applyBorder="1" applyAlignment="1">
      <alignment horizontal="right" vertical="center"/>
    </xf>
    <xf numFmtId="169" fontId="20" fillId="0" borderId="34" xfId="2" applyNumberFormat="1" applyFont="1" applyFill="1" applyBorder="1" applyAlignment="1">
      <alignment horizontal="right" vertical="center"/>
    </xf>
    <xf numFmtId="169" fontId="20" fillId="0" borderId="34" xfId="0" applyNumberFormat="1" applyFont="1" applyBorder="1" applyAlignment="1">
      <alignment horizontal="right" vertical="center"/>
    </xf>
    <xf numFmtId="170" fontId="20" fillId="0" borderId="33" xfId="2" applyNumberFormat="1" applyFont="1" applyFill="1" applyBorder="1" applyAlignment="1">
      <alignment horizontal="right" vertical="center"/>
    </xf>
    <xf numFmtId="170" fontId="20" fillId="0" borderId="34" xfId="2" applyNumberFormat="1" applyFont="1" applyFill="1" applyBorder="1" applyAlignment="1">
      <alignment horizontal="right" vertical="center"/>
    </xf>
    <xf numFmtId="43" fontId="20" fillId="0" borderId="33" xfId="2" applyNumberFormat="1" applyFont="1" applyFill="1" applyBorder="1" applyAlignment="1">
      <alignment horizontal="right" vertical="center"/>
    </xf>
    <xf numFmtId="170" fontId="20" fillId="0" borderId="34" xfId="0" applyNumberFormat="1" applyFont="1" applyBorder="1" applyAlignment="1">
      <alignment horizontal="right" vertical="center"/>
    </xf>
    <xf numFmtId="171" fontId="20" fillId="0" borderId="33" xfId="2" applyNumberFormat="1" applyFont="1" applyFill="1" applyBorder="1" applyAlignment="1">
      <alignment horizontal="right" vertical="center"/>
    </xf>
    <xf numFmtId="43" fontId="20" fillId="0" borderId="34" xfId="2" applyNumberFormat="1" applyFont="1" applyFill="1" applyBorder="1" applyAlignment="1">
      <alignment horizontal="right" vertical="center"/>
    </xf>
    <xf numFmtId="43" fontId="20" fillId="0" borderId="34" xfId="0" applyNumberFormat="1" applyFont="1" applyBorder="1" applyAlignment="1">
      <alignment horizontal="right" vertical="center"/>
    </xf>
    <xf numFmtId="0" fontId="20" fillId="7" borderId="32" xfId="9" applyFont="1" applyFill="1" applyBorder="1" applyAlignment="1">
      <alignment horizontal="left" vertical="center"/>
    </xf>
    <xf numFmtId="0" fontId="16" fillId="7" borderId="33" xfId="0" applyFont="1" applyFill="1" applyBorder="1" applyAlignment="1">
      <alignment horizontal="right" vertical="center"/>
    </xf>
    <xf numFmtId="0" fontId="16" fillId="7" borderId="34" xfId="0" applyFont="1" applyFill="1" applyBorder="1" applyAlignment="1">
      <alignment horizontal="right" vertical="center"/>
    </xf>
    <xf numFmtId="1" fontId="16" fillId="7" borderId="34" xfId="0" applyNumberFormat="1" applyFont="1" applyFill="1" applyBorder="1" applyAlignment="1">
      <alignment horizontal="right" vertical="center"/>
    </xf>
    <xf numFmtId="0" fontId="21" fillId="7" borderId="33" xfId="0" applyFont="1" applyFill="1" applyBorder="1" applyAlignment="1">
      <alignment horizontal="right" vertical="center"/>
    </xf>
    <xf numFmtId="1" fontId="20" fillId="7" borderId="35" xfId="2" applyNumberFormat="1" applyFont="1" applyFill="1" applyBorder="1" applyAlignment="1">
      <alignment horizontal="right" vertical="center"/>
    </xf>
    <xf numFmtId="1" fontId="20" fillId="7" borderId="36" xfId="2" applyNumberFormat="1" applyFont="1" applyFill="1" applyBorder="1" applyAlignment="1">
      <alignment horizontal="right" vertical="center"/>
    </xf>
    <xf numFmtId="0" fontId="20" fillId="7" borderId="37" xfId="2" applyFont="1" applyFill="1" applyBorder="1" applyAlignment="1">
      <alignment vertical="center"/>
    </xf>
    <xf numFmtId="1" fontId="20" fillId="0" borderId="33" xfId="2" applyNumberFormat="1" applyFont="1" applyFill="1" applyBorder="1" applyAlignment="1">
      <alignment horizontal="right" vertical="center"/>
    </xf>
    <xf numFmtId="1" fontId="20" fillId="0" borderId="34" xfId="2" applyNumberFormat="1" applyFont="1" applyFill="1" applyBorder="1" applyAlignment="1">
      <alignment horizontal="right" vertical="center"/>
    </xf>
    <xf numFmtId="1" fontId="20" fillId="0" borderId="35" xfId="2" applyNumberFormat="1" applyFont="1" applyFill="1" applyBorder="1" applyAlignment="1">
      <alignment horizontal="right" vertical="center"/>
    </xf>
    <xf numFmtId="1" fontId="20" fillId="0" borderId="36" xfId="2" applyNumberFormat="1" applyFont="1" applyFill="1" applyBorder="1" applyAlignment="1">
      <alignment horizontal="right" vertical="center"/>
    </xf>
    <xf numFmtId="0" fontId="20" fillId="0" borderId="37" xfId="9" applyFont="1" applyBorder="1" applyAlignment="1">
      <alignment vertical="center"/>
    </xf>
    <xf numFmtId="172" fontId="16" fillId="0" borderId="34" xfId="0" applyNumberFormat="1" applyFont="1" applyBorder="1" applyAlignment="1">
      <alignment horizontal="right" vertical="center"/>
    </xf>
    <xf numFmtId="172" fontId="20" fillId="0" borderId="33" xfId="2" applyNumberFormat="1" applyFont="1" applyFill="1" applyBorder="1" applyAlignment="1">
      <alignment horizontal="right" vertical="center"/>
    </xf>
    <xf numFmtId="172" fontId="20" fillId="0" borderId="34" xfId="2" applyNumberFormat="1" applyFont="1" applyFill="1" applyBorder="1" applyAlignment="1">
      <alignment horizontal="right" vertical="center"/>
    </xf>
    <xf numFmtId="2" fontId="16" fillId="7" borderId="33" xfId="0" applyNumberFormat="1" applyFont="1" applyFill="1" applyBorder="1" applyAlignment="1">
      <alignment horizontal="right" vertical="center"/>
    </xf>
    <xf numFmtId="172" fontId="16" fillId="7" borderId="34" xfId="0" applyNumberFormat="1" applyFont="1" applyFill="1" applyBorder="1" applyAlignment="1">
      <alignment horizontal="right" vertical="center"/>
    </xf>
    <xf numFmtId="1" fontId="16" fillId="7" borderId="33" xfId="0" applyNumberFormat="1" applyFont="1" applyFill="1" applyBorder="1" applyAlignment="1">
      <alignment horizontal="right" vertical="center"/>
    </xf>
    <xf numFmtId="173" fontId="16" fillId="7" borderId="34" xfId="0" applyNumberFormat="1" applyFont="1" applyFill="1" applyBorder="1" applyAlignment="1">
      <alignment horizontal="right" vertical="center"/>
    </xf>
    <xf numFmtId="2" fontId="16" fillId="7" borderId="34" xfId="0" applyNumberFormat="1" applyFont="1" applyFill="1" applyBorder="1" applyAlignment="1">
      <alignment horizontal="right" vertical="center"/>
    </xf>
    <xf numFmtId="1" fontId="16" fillId="7" borderId="35" xfId="0" applyNumberFormat="1" applyFont="1" applyFill="1" applyBorder="1" applyAlignment="1">
      <alignment horizontal="right" vertical="center"/>
    </xf>
    <xf numFmtId="1" fontId="16" fillId="7" borderId="36" xfId="0" applyNumberFormat="1" applyFont="1" applyFill="1" applyBorder="1" applyAlignment="1">
      <alignment horizontal="right" vertical="center"/>
    </xf>
    <xf numFmtId="2" fontId="20" fillId="0" borderId="33" xfId="2" applyNumberFormat="1" applyFont="1" applyFill="1" applyBorder="1" applyAlignment="1">
      <alignment horizontal="right" vertical="center"/>
    </xf>
    <xf numFmtId="172" fontId="20" fillId="0" borderId="34" xfId="0" applyNumberFormat="1" applyFont="1" applyBorder="1" applyAlignment="1">
      <alignment horizontal="right" vertical="center"/>
    </xf>
    <xf numFmtId="2" fontId="20" fillId="0" borderId="34" xfId="0" applyNumberFormat="1" applyFont="1" applyBorder="1" applyAlignment="1">
      <alignment horizontal="right" vertical="center"/>
    </xf>
    <xf numFmtId="173" fontId="20" fillId="0" borderId="34" xfId="0" applyNumberFormat="1" applyFont="1" applyBorder="1" applyAlignment="1">
      <alignment horizontal="right" vertical="center"/>
    </xf>
    <xf numFmtId="2" fontId="20" fillId="0" borderId="34" xfId="2" applyNumberFormat="1" applyFont="1" applyFill="1" applyBorder="1" applyAlignment="1">
      <alignment horizontal="right" vertical="center"/>
    </xf>
    <xf numFmtId="2" fontId="21" fillId="7" borderId="33" xfId="0" applyNumberFormat="1" applyFont="1" applyFill="1" applyBorder="1" applyAlignment="1">
      <alignment horizontal="right" vertical="center"/>
    </xf>
    <xf numFmtId="172" fontId="21" fillId="7" borderId="34" xfId="0" applyNumberFormat="1" applyFont="1" applyFill="1" applyBorder="1" applyAlignment="1">
      <alignment horizontal="right" vertical="center"/>
    </xf>
    <xf numFmtId="1" fontId="21" fillId="7" borderId="34" xfId="0" applyNumberFormat="1" applyFont="1" applyFill="1" applyBorder="1" applyAlignment="1">
      <alignment horizontal="right" vertical="center"/>
    </xf>
    <xf numFmtId="2" fontId="21" fillId="7" borderId="34" xfId="0" applyNumberFormat="1" applyFont="1" applyFill="1" applyBorder="1" applyAlignment="1">
      <alignment horizontal="right" vertical="center"/>
    </xf>
    <xf numFmtId="172" fontId="20" fillId="7" borderId="33" xfId="2" applyNumberFormat="1" applyFont="1" applyFill="1" applyBorder="1" applyAlignment="1">
      <alignment horizontal="right" vertical="center"/>
    </xf>
    <xf numFmtId="172" fontId="20" fillId="7" borderId="34" xfId="2" applyNumberFormat="1" applyFont="1" applyFill="1" applyBorder="1" applyAlignment="1">
      <alignment horizontal="right" vertical="center"/>
    </xf>
    <xf numFmtId="0" fontId="20" fillId="7" borderId="32" xfId="0" applyFont="1" applyFill="1" applyBorder="1" applyAlignment="1">
      <alignment vertical="center"/>
    </xf>
    <xf numFmtId="170" fontId="16" fillId="7" borderId="33" xfId="0" applyNumberFormat="1" applyFont="1" applyFill="1" applyBorder="1" applyAlignment="1">
      <alignment horizontal="right" vertical="center"/>
    </xf>
    <xf numFmtId="170" fontId="16" fillId="7" borderId="34" xfId="0" applyNumberFormat="1" applyFont="1" applyFill="1" applyBorder="1" applyAlignment="1">
      <alignment horizontal="right" vertical="center"/>
    </xf>
    <xf numFmtId="169" fontId="16" fillId="7" borderId="34" xfId="0" applyNumberFormat="1" applyFont="1" applyFill="1" applyBorder="1" applyAlignment="1">
      <alignment horizontal="right" vertical="center"/>
    </xf>
    <xf numFmtId="43" fontId="16" fillId="7" borderId="33" xfId="0" applyNumberFormat="1" applyFont="1" applyFill="1" applyBorder="1" applyAlignment="1">
      <alignment horizontal="right" vertical="center"/>
    </xf>
    <xf numFmtId="43" fontId="16" fillId="7" borderId="34" xfId="0" applyNumberFormat="1" applyFont="1" applyFill="1" applyBorder="1" applyAlignment="1">
      <alignment horizontal="right" vertical="center"/>
    </xf>
    <xf numFmtId="172" fontId="16" fillId="7" borderId="33" xfId="0" applyNumberFormat="1" applyFont="1" applyFill="1" applyBorder="1" applyAlignment="1">
      <alignment horizontal="right" vertical="center"/>
    </xf>
    <xf numFmtId="172" fontId="16" fillId="0" borderId="33" xfId="0" applyNumberFormat="1" applyFont="1" applyBorder="1" applyAlignment="1">
      <alignment horizontal="right" vertical="center"/>
    </xf>
    <xf numFmtId="0" fontId="20" fillId="0" borderId="38" xfId="2" applyFont="1" applyFill="1" applyBorder="1" applyAlignment="1">
      <alignment horizontal="right" vertical="center"/>
    </xf>
    <xf numFmtId="0" fontId="20" fillId="0" borderId="39" xfId="2" applyFont="1" applyFill="1" applyBorder="1" applyAlignment="1">
      <alignment horizontal="right" vertical="center"/>
    </xf>
    <xf numFmtId="0" fontId="20" fillId="0" borderId="40" xfId="2" applyFont="1" applyFill="1" applyBorder="1" applyAlignment="1">
      <alignment horizontal="right" vertical="center"/>
    </xf>
    <xf numFmtId="0" fontId="20" fillId="0" borderId="31" xfId="9" applyFont="1" applyFill="1" applyBorder="1" applyAlignment="1">
      <alignment vertical="center"/>
    </xf>
    <xf numFmtId="0" fontId="19" fillId="0" borderId="21" xfId="0" applyFont="1" applyBorder="1" applyAlignment="1">
      <alignment horizontal="right" vertical="center" textRotation="90"/>
    </xf>
    <xf numFmtId="0" fontId="20" fillId="0" borderId="41" xfId="0" applyFont="1" applyBorder="1" applyAlignment="1">
      <alignment horizontal="right" vertical="center"/>
    </xf>
    <xf numFmtId="170" fontId="20" fillId="0" borderId="42" xfId="2" applyNumberFormat="1" applyFont="1" applyFill="1" applyBorder="1" applyAlignment="1">
      <alignment horizontal="right" vertical="center"/>
    </xf>
    <xf numFmtId="169" fontId="20" fillId="0" borderId="43" xfId="2" applyNumberFormat="1" applyFont="1" applyFill="1" applyBorder="1" applyAlignment="1">
      <alignment horizontal="right" vertical="center"/>
    </xf>
    <xf numFmtId="0" fontId="21" fillId="0" borderId="42" xfId="0" quotePrefix="1" applyFont="1" applyBorder="1" applyAlignment="1">
      <alignment horizontal="right" vertical="center"/>
    </xf>
    <xf numFmtId="0" fontId="21" fillId="0" borderId="43" xfId="0" quotePrefix="1" applyFont="1" applyBorder="1" applyAlignment="1">
      <alignment horizontal="right" vertical="center"/>
    </xf>
    <xf numFmtId="0" fontId="20" fillId="0" borderId="43" xfId="2" applyFont="1" applyFill="1" applyBorder="1" applyAlignment="1">
      <alignment horizontal="right" vertical="center"/>
    </xf>
    <xf numFmtId="170" fontId="20" fillId="0" borderId="43" xfId="0" applyNumberFormat="1" applyFont="1" applyBorder="1" applyAlignment="1">
      <alignment horizontal="right" vertical="center"/>
    </xf>
    <xf numFmtId="172" fontId="20" fillId="0" borderId="43" xfId="2" applyNumberFormat="1" applyFont="1" applyFill="1" applyBorder="1" applyAlignment="1">
      <alignment horizontal="right" vertical="center"/>
    </xf>
    <xf numFmtId="1" fontId="20" fillId="0" borderId="43" xfId="2" applyNumberFormat="1" applyFont="1" applyFill="1" applyBorder="1" applyAlignment="1">
      <alignment horizontal="right" vertical="center"/>
    </xf>
    <xf numFmtId="43" fontId="20" fillId="0" borderId="42" xfId="2" applyNumberFormat="1" applyFont="1" applyFill="1" applyBorder="1" applyAlignment="1">
      <alignment horizontal="right" vertical="center"/>
    </xf>
    <xf numFmtId="43" fontId="20" fillId="0" borderId="43" xfId="2" applyNumberFormat="1" applyFont="1" applyFill="1" applyBorder="1" applyAlignment="1">
      <alignment horizontal="right" vertical="center"/>
    </xf>
    <xf numFmtId="43" fontId="20" fillId="0" borderId="43" xfId="0" applyNumberFormat="1" applyFont="1" applyBorder="1" applyAlignment="1">
      <alignment horizontal="right" vertical="center"/>
    </xf>
    <xf numFmtId="2" fontId="20" fillId="0" borderId="43" xfId="2" applyNumberFormat="1" applyFont="1" applyFill="1" applyBorder="1" applyAlignment="1">
      <alignment horizontal="right" vertical="center"/>
    </xf>
    <xf numFmtId="170" fontId="20" fillId="0" borderId="43" xfId="2" applyNumberFormat="1" applyFont="1" applyFill="1" applyBorder="1" applyAlignment="1">
      <alignment horizontal="right" vertical="center"/>
    </xf>
    <xf numFmtId="172" fontId="20" fillId="0" borderId="42" xfId="2" applyNumberFormat="1" applyFont="1" applyFill="1" applyBorder="1" applyAlignment="1">
      <alignment horizontal="right" vertical="center"/>
    </xf>
    <xf numFmtId="1" fontId="20" fillId="0" borderId="44" xfId="2" applyNumberFormat="1" applyFont="1" applyFill="1" applyBorder="1" applyAlignment="1">
      <alignment horizontal="right" vertical="center"/>
    </xf>
    <xf numFmtId="1" fontId="20" fillId="0" borderId="45" xfId="2" applyNumberFormat="1" applyFont="1" applyFill="1" applyBorder="1" applyAlignment="1">
      <alignment horizontal="right" vertical="center"/>
    </xf>
    <xf numFmtId="1" fontId="20" fillId="0" borderId="46" xfId="2" applyNumberFormat="1" applyFont="1" applyFill="1" applyBorder="1" applyAlignment="1">
      <alignment horizontal="right" vertical="center"/>
    </xf>
    <xf numFmtId="0" fontId="20" fillId="0" borderId="21" xfId="9" applyFont="1" applyFill="1" applyBorder="1" applyAlignment="1">
      <alignment vertical="center"/>
    </xf>
    <xf numFmtId="0" fontId="20" fillId="7" borderId="22" xfId="9" applyFont="1" applyFill="1" applyBorder="1" applyAlignment="1">
      <alignment horizontal="left" vertical="center"/>
    </xf>
    <xf numFmtId="0" fontId="21" fillId="7" borderId="23" xfId="0" quotePrefix="1" applyFont="1" applyFill="1" applyBorder="1" applyAlignment="1">
      <alignment horizontal="right" vertical="center"/>
    </xf>
    <xf numFmtId="0" fontId="21" fillId="7" borderId="24" xfId="0" quotePrefix="1" applyFont="1" applyFill="1" applyBorder="1" applyAlignment="1">
      <alignment horizontal="right" vertical="center"/>
    </xf>
    <xf numFmtId="0" fontId="20" fillId="0" borderId="22" xfId="9" applyFont="1" applyFill="1" applyBorder="1" applyAlignment="1">
      <alignment horizontal="right" vertical="center"/>
    </xf>
    <xf numFmtId="0" fontId="21" fillId="0" borderId="23" xfId="0" quotePrefix="1" applyFont="1" applyBorder="1" applyAlignment="1">
      <alignment horizontal="right" vertical="center"/>
    </xf>
    <xf numFmtId="0" fontId="21" fillId="0" borderId="24" xfId="0" quotePrefix="1" applyFont="1" applyBorder="1" applyAlignment="1">
      <alignment horizontal="right" vertical="center"/>
    </xf>
    <xf numFmtId="172" fontId="21" fillId="7" borderId="35" xfId="0" applyNumberFormat="1" applyFont="1" applyFill="1" applyBorder="1" applyAlignment="1">
      <alignment horizontal="right" vertical="center"/>
    </xf>
    <xf numFmtId="172" fontId="21" fillId="7" borderId="36" xfId="0" applyNumberFormat="1" applyFont="1" applyFill="1" applyBorder="1" applyAlignment="1">
      <alignment horizontal="right" vertical="center"/>
    </xf>
    <xf numFmtId="0" fontId="21" fillId="0" borderId="23" xfId="2" applyFont="1" applyFill="1" applyBorder="1" applyAlignment="1">
      <alignment horizontal="right" vertical="center"/>
    </xf>
    <xf numFmtId="0" fontId="21" fillId="0" borderId="24" xfId="2" applyFont="1" applyFill="1" applyBorder="1" applyAlignment="1">
      <alignment horizontal="right" vertical="center"/>
    </xf>
    <xf numFmtId="172" fontId="16" fillId="0" borderId="24" xfId="0" applyNumberFormat="1" applyFont="1" applyBorder="1" applyAlignment="1">
      <alignment horizontal="right" vertical="center"/>
    </xf>
    <xf numFmtId="0" fontId="16" fillId="0" borderId="24" xfId="0" applyFont="1" applyBorder="1" applyAlignment="1">
      <alignment horizontal="right" vertical="center"/>
    </xf>
    <xf numFmtId="0" fontId="20" fillId="0" borderId="47" xfId="2" applyFont="1" applyFill="1" applyBorder="1" applyAlignment="1">
      <alignment horizontal="right" vertical="center"/>
    </xf>
    <xf numFmtId="0" fontId="20" fillId="0" borderId="48" xfId="2" applyFont="1" applyFill="1" applyBorder="1" applyAlignment="1">
      <alignment horizontal="right" vertical="center"/>
    </xf>
    <xf numFmtId="0" fontId="22" fillId="0" borderId="26" xfId="9" applyFont="1" applyFill="1" applyBorder="1" applyAlignment="1">
      <alignment vertical="center"/>
    </xf>
    <xf numFmtId="0" fontId="21" fillId="0" borderId="24" xfId="0" applyFont="1" applyBorder="1" applyAlignment="1">
      <alignment horizontal="right" vertical="center"/>
    </xf>
    <xf numFmtId="0" fontId="22" fillId="0" borderId="34" xfId="2" applyFont="1" applyFill="1" applyBorder="1" applyAlignment="1">
      <alignment horizontal="right" vertical="center"/>
    </xf>
    <xf numFmtId="0" fontId="21" fillId="0" borderId="47" xfId="2" applyFont="1" applyFill="1" applyBorder="1" applyAlignment="1">
      <alignment horizontal="right" vertical="center"/>
    </xf>
    <xf numFmtId="0" fontId="21" fillId="0" borderId="48" xfId="2" applyFont="1" applyFill="1" applyBorder="1" applyAlignment="1">
      <alignment horizontal="right" vertical="center"/>
    </xf>
    <xf numFmtId="173" fontId="20" fillId="7" borderId="34" xfId="2" applyNumberFormat="1" applyFont="1" applyFill="1" applyBorder="1" applyAlignment="1">
      <alignment horizontal="right" vertical="center"/>
    </xf>
    <xf numFmtId="2" fontId="20" fillId="7" borderId="34" xfId="2" applyNumberFormat="1" applyFont="1" applyFill="1" applyBorder="1" applyAlignment="1">
      <alignment horizontal="right" vertical="center"/>
    </xf>
    <xf numFmtId="0" fontId="22" fillId="7" borderId="37" xfId="9" applyFont="1" applyFill="1" applyBorder="1" applyAlignment="1">
      <alignment vertical="center"/>
    </xf>
    <xf numFmtId="0" fontId="22" fillId="0" borderId="31" xfId="0" applyFont="1" applyBorder="1"/>
    <xf numFmtId="0" fontId="20" fillId="0" borderId="32" xfId="9" applyFont="1" applyFill="1" applyBorder="1" applyAlignment="1">
      <alignment horizontal="right" vertical="center"/>
    </xf>
    <xf numFmtId="0" fontId="20" fillId="0" borderId="33" xfId="0" applyFont="1" applyBorder="1" applyAlignment="1">
      <alignment horizontal="right" vertical="center"/>
    </xf>
    <xf numFmtId="0" fontId="20" fillId="0" borderId="34" xfId="0" applyFont="1" applyBorder="1" applyAlignment="1">
      <alignment horizontal="right" vertical="center"/>
    </xf>
    <xf numFmtId="0" fontId="20" fillId="0" borderId="35" xfId="0" applyFont="1" applyBorder="1" applyAlignment="1">
      <alignment horizontal="right" vertical="center"/>
    </xf>
    <xf numFmtId="0" fontId="20" fillId="0" borderId="36" xfId="0" applyFont="1" applyBorder="1" applyAlignment="1">
      <alignment horizontal="right" vertical="center"/>
    </xf>
    <xf numFmtId="0" fontId="22" fillId="0" borderId="37" xfId="9" applyFont="1" applyFill="1" applyBorder="1" applyAlignment="1">
      <alignment vertical="center"/>
    </xf>
    <xf numFmtId="1" fontId="20" fillId="0" borderId="34" xfId="0" applyNumberFormat="1" applyFont="1" applyBorder="1" applyAlignment="1">
      <alignment horizontal="right" vertical="center"/>
    </xf>
    <xf numFmtId="173" fontId="16" fillId="0" borderId="34" xfId="0" applyNumberFormat="1" applyFont="1" applyBorder="1" applyAlignment="1">
      <alignment horizontal="right" vertical="center"/>
    </xf>
    <xf numFmtId="1" fontId="20" fillId="0" borderId="33" xfId="0" applyNumberFormat="1" applyFont="1" applyBorder="1" applyAlignment="1">
      <alignment horizontal="right" vertical="center"/>
    </xf>
    <xf numFmtId="0" fontId="21" fillId="0" borderId="34" xfId="2" quotePrefix="1" applyFont="1" applyFill="1" applyBorder="1" applyAlignment="1">
      <alignment horizontal="right" vertical="center"/>
    </xf>
    <xf numFmtId="0" fontId="20" fillId="7" borderId="32" xfId="9" applyFont="1" applyFill="1" applyBorder="1" applyAlignment="1">
      <alignment vertical="center"/>
    </xf>
    <xf numFmtId="0" fontId="16" fillId="7" borderId="35" xfId="0" applyFont="1" applyFill="1" applyBorder="1" applyAlignment="1">
      <alignment horizontal="right" vertical="center"/>
    </xf>
    <xf numFmtId="0" fontId="16" fillId="7" borderId="36" xfId="0" applyFont="1" applyFill="1" applyBorder="1" applyAlignment="1">
      <alignment horizontal="right" vertical="center"/>
    </xf>
    <xf numFmtId="0" fontId="21" fillId="0" borderId="33" xfId="0" applyFont="1" applyBorder="1" applyAlignment="1">
      <alignment horizontal="right" vertical="center"/>
    </xf>
    <xf numFmtId="0" fontId="20" fillId="7" borderId="33" xfId="0" applyFont="1" applyFill="1" applyBorder="1" applyAlignment="1">
      <alignment horizontal="right" vertical="center"/>
    </xf>
    <xf numFmtId="0" fontId="20" fillId="7" borderId="34" xfId="0" applyFont="1" applyFill="1" applyBorder="1" applyAlignment="1">
      <alignment horizontal="right" vertical="center"/>
    </xf>
    <xf numFmtId="0" fontId="20" fillId="7" borderId="35" xfId="0" applyFont="1" applyFill="1" applyBorder="1" applyAlignment="1">
      <alignment horizontal="right" vertical="center"/>
    </xf>
    <xf numFmtId="0" fontId="20" fillId="7" borderId="36" xfId="0" applyFont="1" applyFill="1" applyBorder="1" applyAlignment="1">
      <alignment horizontal="right" vertical="center"/>
    </xf>
    <xf numFmtId="0" fontId="22" fillId="0" borderId="31" xfId="2" applyFont="1" applyFill="1" applyBorder="1"/>
    <xf numFmtId="3" fontId="16" fillId="0" borderId="34" xfId="0" applyNumberFormat="1" applyFont="1" applyBorder="1" applyAlignment="1">
      <alignment horizontal="right" vertical="center"/>
    </xf>
    <xf numFmtId="3" fontId="16" fillId="0" borderId="35" xfId="0" applyNumberFormat="1" applyFont="1" applyBorder="1" applyAlignment="1">
      <alignment horizontal="right" vertical="center"/>
    </xf>
    <xf numFmtId="3" fontId="16" fillId="0" borderId="36" xfId="0" applyNumberFormat="1" applyFont="1" applyBorder="1" applyAlignment="1">
      <alignment horizontal="right" vertical="center"/>
    </xf>
    <xf numFmtId="0" fontId="20" fillId="0" borderId="22" xfId="9" applyFont="1" applyBorder="1" applyAlignment="1">
      <alignment horizontal="right" vertical="center"/>
    </xf>
    <xf numFmtId="0" fontId="20" fillId="0" borderId="23" xfId="2" applyFont="1" applyFill="1" applyBorder="1" applyAlignment="1">
      <alignment horizontal="right" vertical="center"/>
    </xf>
    <xf numFmtId="0" fontId="20" fillId="0" borderId="24" xfId="2" applyFont="1" applyFill="1" applyBorder="1" applyAlignment="1">
      <alignment horizontal="right" vertical="center"/>
    </xf>
    <xf numFmtId="0" fontId="20" fillId="0" borderId="26" xfId="9" applyFont="1" applyBorder="1" applyAlignment="1">
      <alignment vertical="center"/>
    </xf>
    <xf numFmtId="0" fontId="20" fillId="7" borderId="50" xfId="9" applyFont="1" applyFill="1" applyBorder="1" applyAlignment="1">
      <alignment horizontal="left" vertical="center"/>
    </xf>
    <xf numFmtId="2" fontId="20" fillId="7" borderId="28" xfId="0" applyNumberFormat="1" applyFont="1" applyFill="1" applyBorder="1" applyAlignment="1">
      <alignment horizontal="right" vertical="center"/>
    </xf>
    <xf numFmtId="172" fontId="20" fillId="7" borderId="29" xfId="0" applyNumberFormat="1" applyFont="1" applyFill="1" applyBorder="1" applyAlignment="1">
      <alignment horizontal="right" vertical="center"/>
    </xf>
    <xf numFmtId="1" fontId="20" fillId="7" borderId="51" xfId="0" applyNumberFormat="1" applyFont="1" applyFill="1" applyBorder="1" applyAlignment="1">
      <alignment horizontal="right" vertical="center"/>
    </xf>
    <xf numFmtId="0" fontId="21" fillId="7" borderId="51" xfId="0" applyFont="1" applyFill="1" applyBorder="1" applyAlignment="1">
      <alignment horizontal="right" vertical="center"/>
    </xf>
    <xf numFmtId="2" fontId="16" fillId="7" borderId="28" xfId="0" applyNumberFormat="1" applyFont="1" applyFill="1" applyBorder="1" applyAlignment="1">
      <alignment horizontal="right" vertical="center"/>
    </xf>
    <xf numFmtId="172" fontId="16" fillId="7" borderId="29" xfId="0" applyNumberFormat="1" applyFont="1" applyFill="1" applyBorder="1" applyAlignment="1">
      <alignment horizontal="right" vertical="center"/>
    </xf>
    <xf numFmtId="1" fontId="16" fillId="7" borderId="51" xfId="0" applyNumberFormat="1" applyFont="1" applyFill="1" applyBorder="1" applyAlignment="1">
      <alignment horizontal="right" vertical="center"/>
    </xf>
    <xf numFmtId="2" fontId="20" fillId="7" borderId="29" xfId="0" applyNumberFormat="1" applyFont="1" applyFill="1" applyBorder="1" applyAlignment="1">
      <alignment horizontal="right" vertical="center"/>
    </xf>
    <xf numFmtId="172" fontId="20" fillId="7" borderId="51" xfId="0" applyNumberFormat="1" applyFont="1" applyFill="1" applyBorder="1" applyAlignment="1">
      <alignment horizontal="right" vertical="center"/>
    </xf>
    <xf numFmtId="172" fontId="20" fillId="7" borderId="28" xfId="2" applyNumberFormat="1" applyFont="1" applyFill="1" applyBorder="1" applyAlignment="1">
      <alignment horizontal="right" vertical="center"/>
    </xf>
    <xf numFmtId="172" fontId="20" fillId="7" borderId="29" xfId="2" applyNumberFormat="1" applyFont="1" applyFill="1" applyBorder="1" applyAlignment="1">
      <alignment horizontal="right" vertical="center"/>
    </xf>
    <xf numFmtId="1" fontId="20" fillId="7" borderId="29" xfId="2" applyNumberFormat="1" applyFont="1" applyFill="1" applyBorder="1" applyAlignment="1">
      <alignment horizontal="right" vertical="center"/>
    </xf>
    <xf numFmtId="1" fontId="20" fillId="7" borderId="51" xfId="2" applyNumberFormat="1" applyFont="1" applyFill="1" applyBorder="1" applyAlignment="1">
      <alignment horizontal="right" vertical="center"/>
    </xf>
    <xf numFmtId="0" fontId="20" fillId="7" borderId="18" xfId="2" applyFont="1" applyFill="1" applyBorder="1" applyAlignment="1">
      <alignment vertical="center"/>
    </xf>
    <xf numFmtId="0" fontId="20" fillId="7" borderId="38" xfId="0" applyFont="1" applyFill="1" applyBorder="1" applyAlignment="1">
      <alignment vertical="center"/>
    </xf>
    <xf numFmtId="172" fontId="20" fillId="7" borderId="33" xfId="0" applyNumberFormat="1" applyFont="1" applyFill="1" applyBorder="1" applyAlignment="1">
      <alignment horizontal="right" vertical="center"/>
    </xf>
    <xf numFmtId="172" fontId="20" fillId="7" borderId="34" xfId="0" applyNumberFormat="1" applyFont="1" applyFill="1" applyBorder="1" applyAlignment="1">
      <alignment horizontal="right" vertical="center"/>
    </xf>
    <xf numFmtId="1" fontId="20" fillId="7" borderId="34" xfId="0" applyNumberFormat="1" applyFont="1" applyFill="1" applyBorder="1" applyAlignment="1">
      <alignment horizontal="right" vertical="center"/>
    </xf>
    <xf numFmtId="1" fontId="20" fillId="7" borderId="36" xfId="0" applyNumberFormat="1" applyFont="1" applyFill="1" applyBorder="1" applyAlignment="1">
      <alignment horizontal="right" vertical="center"/>
    </xf>
    <xf numFmtId="0" fontId="21" fillId="7" borderId="36" xfId="0" quotePrefix="1" applyFont="1" applyFill="1" applyBorder="1" applyAlignment="1">
      <alignment horizontal="right" vertical="center"/>
    </xf>
    <xf numFmtId="0" fontId="21" fillId="7" borderId="36" xfId="0" applyFont="1" applyFill="1" applyBorder="1" applyAlignment="1">
      <alignment horizontal="right" vertical="center"/>
    </xf>
    <xf numFmtId="0" fontId="20" fillId="7" borderId="53" xfId="2" applyFont="1" applyFill="1" applyBorder="1" applyAlignment="1">
      <alignment vertical="center" wrapText="1"/>
    </xf>
    <xf numFmtId="0" fontId="20" fillId="7" borderId="44" xfId="0" applyFont="1" applyFill="1" applyBorder="1" applyAlignment="1">
      <alignment vertical="center"/>
    </xf>
    <xf numFmtId="0" fontId="21" fillId="7" borderId="42" xfId="0" applyFont="1" applyFill="1" applyBorder="1" applyAlignment="1">
      <alignment horizontal="right" vertical="center"/>
    </xf>
    <xf numFmtId="0" fontId="21" fillId="7" borderId="43" xfId="0" applyFont="1" applyFill="1" applyBorder="1" applyAlignment="1">
      <alignment horizontal="right" vertical="center"/>
    </xf>
    <xf numFmtId="0" fontId="20" fillId="7" borderId="43" xfId="0" applyFont="1" applyFill="1" applyBorder="1" applyAlignment="1">
      <alignment horizontal="right" vertical="center"/>
    </xf>
    <xf numFmtId="0" fontId="21" fillId="7" borderId="55" xfId="0" applyFont="1" applyFill="1" applyBorder="1" applyAlignment="1">
      <alignment horizontal="right" vertical="center"/>
    </xf>
    <xf numFmtId="0" fontId="21" fillId="7" borderId="42" xfId="0" quotePrefix="1" applyFont="1" applyFill="1" applyBorder="1" applyAlignment="1">
      <alignment horizontal="right" vertical="center"/>
    </xf>
    <xf numFmtId="0" fontId="21" fillId="7" borderId="43" xfId="0" quotePrefix="1" applyFont="1" applyFill="1" applyBorder="1" applyAlignment="1">
      <alignment horizontal="right" vertical="center"/>
    </xf>
    <xf numFmtId="0" fontId="21" fillId="7" borderId="55" xfId="0" quotePrefix="1" applyFont="1" applyFill="1" applyBorder="1" applyAlignment="1">
      <alignment horizontal="right" vertical="center"/>
    </xf>
    <xf numFmtId="0" fontId="16" fillId="7" borderId="42" xfId="0" applyFont="1" applyFill="1" applyBorder="1" applyAlignment="1">
      <alignment horizontal="right" vertical="center"/>
    </xf>
    <xf numFmtId="1" fontId="16" fillId="7" borderId="43" xfId="0" applyNumberFormat="1" applyFont="1" applyFill="1" applyBorder="1" applyAlignment="1">
      <alignment horizontal="right" vertical="center"/>
    </xf>
    <xf numFmtId="0" fontId="16" fillId="7" borderId="43" xfId="0" applyFont="1" applyFill="1" applyBorder="1" applyAlignment="1">
      <alignment horizontal="right" vertical="center"/>
    </xf>
    <xf numFmtId="1" fontId="16" fillId="9" borderId="55" xfId="0" applyNumberFormat="1" applyFont="1" applyFill="1" applyBorder="1" applyAlignment="1">
      <alignment horizontal="right" vertical="center"/>
    </xf>
    <xf numFmtId="0" fontId="20" fillId="7" borderId="56" xfId="2" applyFont="1" applyFill="1" applyBorder="1" applyAlignment="1">
      <alignment vertical="center" wrapText="1"/>
    </xf>
    <xf numFmtId="0" fontId="0" fillId="0" borderId="21" xfId="0" applyBorder="1" applyAlignment="1">
      <alignment wrapText="1"/>
    </xf>
    <xf numFmtId="9" fontId="0" fillId="0" borderId="0" xfId="0" applyNumberFormat="1"/>
    <xf numFmtId="0" fontId="24" fillId="0" borderId="0" xfId="10" applyFont="1"/>
    <xf numFmtId="0" fontId="23" fillId="0" borderId="0" xfId="10"/>
    <xf numFmtId="0" fontId="25" fillId="0" borderId="0" xfId="10" applyFont="1"/>
    <xf numFmtId="0" fontId="26" fillId="0" borderId="0" xfId="10" applyFont="1"/>
    <xf numFmtId="0" fontId="27" fillId="0" borderId="0" xfId="10" applyFont="1"/>
    <xf numFmtId="0" fontId="28" fillId="0" borderId="0" xfId="10" applyFont="1"/>
    <xf numFmtId="0" fontId="23" fillId="0" borderId="0" xfId="10" applyAlignment="1">
      <alignment horizontal="left"/>
    </xf>
    <xf numFmtId="0" fontId="0" fillId="0" borderId="0" xfId="0" applyAlignment="1">
      <alignment horizontal="center"/>
    </xf>
    <xf numFmtId="0" fontId="28" fillId="0" borderId="0" xfId="10" applyFont="1" applyAlignment="1">
      <alignment wrapText="1"/>
    </xf>
    <xf numFmtId="164" fontId="0" fillId="3" borderId="0" xfId="0" applyNumberFormat="1" applyFill="1" applyAlignment="1">
      <alignment wrapText="1"/>
    </xf>
    <xf numFmtId="0" fontId="8" fillId="0" borderId="0" xfId="4"/>
    <xf numFmtId="0" fontId="9" fillId="0" borderId="2" xfId="6">
      <alignment wrapText="1"/>
    </xf>
    <xf numFmtId="9" fontId="8" fillId="0" borderId="3" xfId="11" applyFont="1" applyBorder="1" applyAlignment="1">
      <alignment wrapText="1"/>
    </xf>
    <xf numFmtId="0" fontId="9" fillId="0" borderId="2" xfId="6" applyAlignment="1"/>
    <xf numFmtId="1" fontId="9" fillId="0" borderId="2" xfId="6" applyNumberFormat="1">
      <alignment wrapText="1"/>
    </xf>
    <xf numFmtId="168" fontId="9" fillId="0" borderId="2" xfId="6" applyNumberFormat="1">
      <alignment wrapText="1"/>
    </xf>
    <xf numFmtId="0" fontId="8" fillId="0" borderId="4" xfId="4" applyBorder="1" applyAlignment="1">
      <alignment vertical="top" wrapText="1"/>
    </xf>
    <xf numFmtId="0" fontId="19" fillId="0" borderId="31" xfId="0" applyFont="1" applyBorder="1" applyAlignment="1">
      <alignment horizontal="right" vertical="center" textRotation="90"/>
    </xf>
    <xf numFmtId="0" fontId="19" fillId="0" borderId="49" xfId="0" applyFont="1" applyBorder="1" applyAlignment="1">
      <alignment horizontal="center" vertical="center" textRotation="90"/>
    </xf>
    <xf numFmtId="0" fontId="19" fillId="0" borderId="52" xfId="0" applyFont="1" applyBorder="1" applyAlignment="1">
      <alignment horizontal="center" vertical="center" textRotation="90"/>
    </xf>
    <xf numFmtId="0" fontId="19" fillId="0" borderId="54" xfId="0" applyFont="1" applyBorder="1" applyAlignment="1">
      <alignment horizontal="center" vertical="center" textRotation="90"/>
    </xf>
    <xf numFmtId="0" fontId="13" fillId="0" borderId="9"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1" xfId="0" applyFont="1" applyBorder="1" applyAlignment="1">
      <alignment horizontal="center" vertical="center" wrapText="1"/>
    </xf>
    <xf numFmtId="0" fontId="16" fillId="0" borderId="12" xfId="0" applyFont="1" applyBorder="1" applyAlignment="1">
      <alignment horizontal="center"/>
    </xf>
    <xf numFmtId="0" fontId="16" fillId="0" borderId="21" xfId="0" applyFont="1" applyBorder="1" applyAlignment="1">
      <alignment horizontal="center"/>
    </xf>
    <xf numFmtId="0" fontId="17" fillId="6" borderId="13" xfId="0" applyFont="1" applyFill="1" applyBorder="1" applyAlignment="1">
      <alignment horizontal="center" vertical="center" wrapText="1"/>
    </xf>
    <xf numFmtId="0" fontId="17" fillId="6" borderId="22" xfId="0" applyFont="1" applyFill="1" applyBorder="1" applyAlignment="1">
      <alignment horizontal="center" vertical="center" wrapText="1"/>
    </xf>
    <xf numFmtId="0" fontId="17" fillId="6" borderId="14" xfId="0" applyFont="1" applyFill="1" applyBorder="1" applyAlignment="1">
      <alignment horizontal="center" vertical="center" wrapText="1"/>
    </xf>
    <xf numFmtId="0" fontId="17" fillId="6" borderId="15" xfId="0" applyFont="1" applyFill="1" applyBorder="1" applyAlignment="1">
      <alignment horizontal="center" vertical="center" wrapText="1"/>
    </xf>
    <xf numFmtId="0" fontId="17" fillId="6" borderId="16" xfId="0" applyFont="1" applyFill="1" applyBorder="1" applyAlignment="1">
      <alignment horizontal="center" vertical="center" wrapText="1"/>
    </xf>
    <xf numFmtId="0" fontId="17" fillId="6" borderId="17" xfId="0" applyFont="1" applyFill="1" applyBorder="1" applyAlignment="1">
      <alignment horizontal="center" vertical="center" wrapText="1"/>
    </xf>
    <xf numFmtId="0" fontId="17" fillId="6" borderId="18" xfId="0" applyFont="1" applyFill="1" applyBorder="1" applyAlignment="1">
      <alignment horizontal="center" vertical="center" wrapText="1"/>
    </xf>
    <xf numFmtId="0" fontId="18" fillId="6" borderId="19" xfId="0" applyFont="1" applyFill="1" applyBorder="1" applyAlignment="1">
      <alignment horizontal="center" vertical="center" wrapText="1"/>
    </xf>
    <xf numFmtId="0" fontId="18" fillId="6" borderId="26" xfId="0" applyFont="1" applyFill="1" applyBorder="1" applyAlignment="1">
      <alignment horizontal="center" vertical="center" wrapText="1"/>
    </xf>
    <xf numFmtId="0" fontId="18" fillId="6" borderId="20" xfId="0" applyFont="1" applyFill="1" applyBorder="1" applyAlignment="1">
      <alignment horizontal="center" vertical="center" wrapText="1"/>
    </xf>
    <xf numFmtId="0" fontId="18" fillId="6" borderId="27" xfId="0" applyFont="1" applyFill="1" applyBorder="1" applyAlignment="1">
      <alignment horizontal="center" vertical="center" wrapText="1"/>
    </xf>
    <xf numFmtId="0" fontId="0" fillId="0" borderId="0" xfId="0" applyAlignment="1">
      <alignment wrapText="1"/>
    </xf>
    <xf numFmtId="0" fontId="0" fillId="0" borderId="0" xfId="0"/>
  </cellXfs>
  <cellStyles count="12">
    <cellStyle name="Bad" xfId="2" builtinId="27"/>
    <cellStyle name="Body: normal cell" xfId="7" xr:uid="{A22F8758-1605-4DC9-9132-903B2B26C794}"/>
    <cellStyle name="Font: Calibri, 9pt regular" xfId="4" xr:uid="{339EAFDD-0F29-4F57-801D-744BA49EDDB4}"/>
    <cellStyle name="Footnotes: top row 2" xfId="8" xr:uid="{3C6A5BD8-BE15-4E44-AC81-6D1A3B29B0FA}"/>
    <cellStyle name="Header: bottom row" xfId="5" xr:uid="{74804DF2-0DD7-4639-B746-4376A793F701}"/>
    <cellStyle name="Hyperlink" xfId="9" builtinId="8"/>
    <cellStyle name="Normal" xfId="0" builtinId="0"/>
    <cellStyle name="Normal 2" xfId="10" xr:uid="{0C1AC46F-1B95-4C99-A797-D03965CEF89E}"/>
    <cellStyle name="Percent" xfId="1" builtinId="5"/>
    <cellStyle name="Percent 2" xfId="11" xr:uid="{0230C4A9-65E9-405E-BF03-7872335E87F8}"/>
    <cellStyle name="Section Break: parent row" xfId="6" xr:uid="{8BC9B82C-120F-43E6-BE1B-D019DB034456}"/>
    <cellStyle name="Table title" xfId="3" xr:uid="{88D5449A-5E72-4ADB-964D-C098B5DD0A0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696686</xdr:colOff>
      <xdr:row>9</xdr:row>
      <xdr:rowOff>76200</xdr:rowOff>
    </xdr:from>
    <xdr:to>
      <xdr:col>4</xdr:col>
      <xdr:colOff>152400</xdr:colOff>
      <xdr:row>15</xdr:row>
      <xdr:rowOff>70757</xdr:rowOff>
    </xdr:to>
    <xdr:sp macro="[0]!Generate_CSV" textlink="">
      <xdr:nvSpPr>
        <xdr:cNvPr id="2" name="Oval 1">
          <a:extLst>
            <a:ext uri="{FF2B5EF4-FFF2-40B4-BE49-F238E27FC236}">
              <a16:creationId xmlns:a16="http://schemas.microsoft.com/office/drawing/2014/main" id="{610E8984-87A0-8DDA-858B-BAFBA38DE4F2}"/>
            </a:ext>
          </a:extLst>
        </xdr:cNvPr>
        <xdr:cNvSpPr/>
      </xdr:nvSpPr>
      <xdr:spPr>
        <a:xfrm>
          <a:off x="2092779" y="1556657"/>
          <a:ext cx="1104900" cy="11049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Generate</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hyperlink" Target="https://www.eia.gov/outlooks/aeo/electricity_generation/xls/AEO2023_LCOE-LCOS-LACE_figures.xlsx"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oi.org/10.1111/j.1530-9290.2011.00423.x" TargetMode="External"/><Relationship Id="rId13" Type="http://schemas.openxmlformats.org/officeDocument/2006/relationships/hyperlink" Target="https://onlinelibrary.wiley.com/doi/pdf/10.1111/j.1530-9290.2012.00474.x" TargetMode="External"/><Relationship Id="rId18" Type="http://schemas.openxmlformats.org/officeDocument/2006/relationships/hyperlink" Target="https://doi.org/10.1073/pnas.1309334111" TargetMode="External"/><Relationship Id="rId26" Type="http://schemas.openxmlformats.org/officeDocument/2006/relationships/hyperlink" Target="https://onlinelibrary.wiley.com/doi/pdf/10.1111/j.1530-9290.2012.00472.x" TargetMode="External"/><Relationship Id="rId3" Type="http://schemas.openxmlformats.org/officeDocument/2006/relationships/hyperlink" Target="https://doi.org/10.1111/j.1530-9290.2012.00465.x" TargetMode="External"/><Relationship Id="rId21" Type="http://schemas.openxmlformats.org/officeDocument/2006/relationships/hyperlink" Target="https://www.ipcc.ch/report/renewable-energy-sources-and-climate-change-mitigation/" TargetMode="External"/><Relationship Id="rId7" Type="http://schemas.openxmlformats.org/officeDocument/2006/relationships/hyperlink" Target="https://www.energy.gov/sites/prod/files/2016/10/f33/Hydropower-Vision-Appendices-10212016.pdf" TargetMode="External"/><Relationship Id="rId12" Type="http://schemas.openxmlformats.org/officeDocument/2006/relationships/hyperlink" Target="https://onlinelibrary.wiley.com/action/downloadSupplement?doi=10.1111%2Fj.1530-9290.2011.00439.x&amp;file=JIEC_439_sm_suppmat.pdf" TargetMode="External"/><Relationship Id="rId17" Type="http://schemas.openxmlformats.org/officeDocument/2006/relationships/hyperlink" Target="https://onlinelibrary.wiley.com/doi/pdf/10.1111/j.1530-9290.2012.00472.x" TargetMode="External"/><Relationship Id="rId25" Type="http://schemas.openxmlformats.org/officeDocument/2006/relationships/hyperlink" Target="https://onlinelibrary.wiley.com/doi/pdf/10.1111/j.1530-9290.2012.00472.x" TargetMode="External"/><Relationship Id="rId2" Type="http://schemas.openxmlformats.org/officeDocument/2006/relationships/hyperlink" Target="https://www.energy.gov/sites/prod/files/2016/10/f33/Hydropower-Vision-Appendices-10212016.pdf" TargetMode="External"/><Relationship Id="rId16" Type="http://schemas.openxmlformats.org/officeDocument/2006/relationships/hyperlink" Target="https://www.energy.gov/sites/prod/files/2016/10/f33/Hydropower-Vision-Appendices-10212016.pdf" TargetMode="External"/><Relationship Id="rId20" Type="http://schemas.openxmlformats.org/officeDocument/2006/relationships/hyperlink" Target="https://www.energy.gov/sites/prod/files/2018/05/f51/WindVisionStudy_FINAL__APPENDIX_BOOK-web150_0.pdf" TargetMode="External"/><Relationship Id="rId29" Type="http://schemas.openxmlformats.org/officeDocument/2006/relationships/hyperlink" Target="https://onlinelibrary.wiley.com/doi/full/10.1111/jiec.12084" TargetMode="External"/><Relationship Id="rId1" Type="http://schemas.openxmlformats.org/officeDocument/2006/relationships/hyperlink" Target="https://www.energy.gov/sites/prod/files/2016/10/f33/Hydropower-Vision-Appendices-10212016.pdf" TargetMode="External"/><Relationship Id="rId6" Type="http://schemas.openxmlformats.org/officeDocument/2006/relationships/hyperlink" Target="https://www.epri.com/" TargetMode="External"/><Relationship Id="rId11" Type="http://schemas.openxmlformats.org/officeDocument/2006/relationships/hyperlink" Target="https://onlinelibrary.wiley.com/action/downloadSupplement?doi=10.1111%2Fj.1530-9290.2011.00439.x&amp;file=JIEC_439_sm_suppmat.pdf" TargetMode="External"/><Relationship Id="rId24" Type="http://schemas.openxmlformats.org/officeDocument/2006/relationships/hyperlink" Target="https://www.nrel.gov/docs/fy17osti/68474.pdf" TargetMode="External"/><Relationship Id="rId5" Type="http://schemas.openxmlformats.org/officeDocument/2006/relationships/hyperlink" Target="https://www.epri.com/" TargetMode="External"/><Relationship Id="rId15" Type="http://schemas.openxmlformats.org/officeDocument/2006/relationships/hyperlink" Target="https://doi.org/10.1111/j.1530-9290.2012.00465.x" TargetMode="External"/><Relationship Id="rId23" Type="http://schemas.openxmlformats.org/officeDocument/2006/relationships/hyperlink" Target="https://www.nrel.gov/docs/fy17osti/68474.pdf" TargetMode="External"/><Relationship Id="rId28" Type="http://schemas.openxmlformats.org/officeDocument/2006/relationships/hyperlink" Target="https://onlinelibrary.wiley.com/doi/full/10.1111/jiec.12084" TargetMode="External"/><Relationship Id="rId10" Type="http://schemas.openxmlformats.org/officeDocument/2006/relationships/hyperlink" Target="https://onlinelibrary.wiley.com/doi/pdf/10.1111/j.1530-9290.2012.00474.x" TargetMode="External"/><Relationship Id="rId19" Type="http://schemas.openxmlformats.org/officeDocument/2006/relationships/hyperlink" Target="https://www.energy.gov/sites/prod/files/2018/05/f51/WindVisionStudy_FINAL__APPENDIX_BOOK-web150_0.pdf" TargetMode="External"/><Relationship Id="rId4" Type="http://schemas.openxmlformats.org/officeDocument/2006/relationships/hyperlink" Target="https://doi.org/10.1111/j.1530-9290.2012.00465.x" TargetMode="External"/><Relationship Id="rId9" Type="http://schemas.openxmlformats.org/officeDocument/2006/relationships/hyperlink" Target="https://doi.org/10.1111/j.1530-9290.2011.00423.x" TargetMode="External"/><Relationship Id="rId14" Type="http://schemas.openxmlformats.org/officeDocument/2006/relationships/hyperlink" Target="https://www.epri.com/" TargetMode="External"/><Relationship Id="rId22" Type="http://schemas.openxmlformats.org/officeDocument/2006/relationships/hyperlink" Target="https://www.ipcc.ch/report/renewable-energy-sources-and-climate-change-mitigation/" TargetMode="External"/><Relationship Id="rId27" Type="http://schemas.openxmlformats.org/officeDocument/2006/relationships/hyperlink" Target="https://doi.org/10.1073/pnas.1309334111" TargetMode="External"/><Relationship Id="rId30" Type="http://schemas.openxmlformats.org/officeDocument/2006/relationships/hyperlink" Target="https://data.nrel.gov/submissions/171"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iea.blob.core.windows.net/assets/ae17da3d-e8a5-4163-a3ec-2e6fb0b5677d/Projected-Costs-of-Generating-Electricity-2020.pdf"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www.eia.gov/totalenergy/data/monthly/dataunits.php" TargetMode="Externa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A8D43-46A2-4F0B-84FA-B7825007EE6E}">
  <sheetPr codeName="Sheet1"/>
  <dimension ref="A1:N144"/>
  <sheetViews>
    <sheetView workbookViewId="0">
      <pane xSplit="1" ySplit="1" topLeftCell="B2" activePane="bottomRight" state="frozen"/>
      <selection activeCell="B6" sqref="B6"/>
      <selection pane="topRight" activeCell="B6" sqref="B6"/>
      <selection pane="bottomLeft" activeCell="B6" sqref="B6"/>
      <selection pane="bottomRight" activeCell="H6" sqref="H6"/>
    </sheetView>
  </sheetViews>
  <sheetFormatPr defaultRowHeight="14.6" x14ac:dyDescent="0.85"/>
  <cols>
    <col min="1" max="1" width="19.3046875" bestFit="1" customWidth="1"/>
    <col min="2" max="2" width="20.23046875" style="5" bestFit="1" customWidth="1"/>
    <col min="3" max="3" width="13.34375" bestFit="1" customWidth="1"/>
    <col min="4" max="4" width="14.421875" bestFit="1" customWidth="1"/>
    <col min="5" max="5" width="14.921875" bestFit="1" customWidth="1"/>
    <col min="6" max="6" width="14.765625" bestFit="1" customWidth="1"/>
    <col min="7" max="7" width="13.03515625" bestFit="1" customWidth="1"/>
    <col min="8" max="8" width="7.03515625" customWidth="1"/>
    <col min="9" max="9" width="14.53515625" customWidth="1"/>
    <col min="10" max="10" width="17.421875" customWidth="1"/>
    <col min="13" max="13" width="15.61328125" customWidth="1"/>
    <col min="14" max="14" width="12.765625" bestFit="1" customWidth="1"/>
  </cols>
  <sheetData>
    <row r="1" spans="1:10" s="1" customFormat="1" ht="17.649999999999999" customHeight="1" x14ac:dyDescent="0.85">
      <c r="A1" s="1" t="s">
        <v>0</v>
      </c>
      <c r="B1" s="2" t="s">
        <v>1</v>
      </c>
      <c r="C1" s="1" t="s">
        <v>2</v>
      </c>
      <c r="D1" s="1" t="s">
        <v>3</v>
      </c>
      <c r="E1" s="1" t="s">
        <v>4</v>
      </c>
      <c r="F1" s="1" t="s">
        <v>5</v>
      </c>
      <c r="G1" s="1" t="s">
        <v>22</v>
      </c>
    </row>
    <row r="2" spans="1:10" s="3" customFormat="1" ht="87.45" x14ac:dyDescent="0.85">
      <c r="A2" s="3" t="s">
        <v>7</v>
      </c>
      <c r="B2" s="4" t="str">
        <f t="shared" ref="B2:G2" ca="1" si="0">OFFSET(CostPerfCorner,B$3,0)</f>
        <v>Solar PV with Single-Axis
Tracking</v>
      </c>
      <c r="C2" s="4" t="str">
        <f t="shared" ca="1" si="0"/>
        <v>Onshore Wind – Large
Plant Footprint: Great
Plains Region</v>
      </c>
      <c r="D2" s="4" t="str">
        <f t="shared" ca="1" si="0"/>
        <v>Advanced Nuclear
(Brownfield)</v>
      </c>
      <c r="E2" s="4" t="str">
        <f t="shared" ca="1" si="0"/>
        <v>CC 2x2x1</v>
      </c>
      <c r="F2" s="4" t="str">
        <f t="shared" ca="1" si="0"/>
        <v>USC Coal without Carbon
Capture – Greenfield</v>
      </c>
      <c r="G2" s="4" t="str">
        <f t="shared" ca="1" si="0"/>
        <v>BESS</v>
      </c>
      <c r="I2" s="4"/>
      <c r="J2" s="4"/>
    </row>
    <row r="3" spans="1:10" ht="14.65" x14ac:dyDescent="0.85">
      <c r="A3" t="s">
        <v>8</v>
      </c>
      <c r="B3" s="5">
        <v>15</v>
      </c>
      <c r="C3" s="5">
        <v>12</v>
      </c>
      <c r="D3" s="5">
        <v>8</v>
      </c>
      <c r="E3" s="5">
        <v>4</v>
      </c>
      <c r="F3" s="5">
        <v>0</v>
      </c>
      <c r="G3" s="5">
        <v>18</v>
      </c>
      <c r="H3" s="5"/>
      <c r="I3" s="5"/>
      <c r="J3" s="5"/>
    </row>
    <row r="4" spans="1:10" ht="14.65" x14ac:dyDescent="0.85">
      <c r="A4" t="s">
        <v>9</v>
      </c>
      <c r="B4" s="5">
        <f ca="1">VALUE(OFFSET(CostPerfCorner,B$3,4))</f>
        <v>1502</v>
      </c>
      <c r="C4" s="5">
        <f ca="1">VALUE(OFFSET(CostPerfCorner,C$3,4))</f>
        <v>1489</v>
      </c>
      <c r="D4" s="5">
        <f ca="1">VALUE(OFFSET(CostPerfCorner,D$3,4))</f>
        <v>7861</v>
      </c>
      <c r="E4" s="5">
        <f ca="1">VALUE(OFFSET(CostPerfCorner,E$3,4))</f>
        <v>868</v>
      </c>
      <c r="F4" s="5">
        <f ca="1">VALUE(OFFSET(CostPerfCorner,F$3,4))</f>
        <v>4103</v>
      </c>
      <c r="G4" s="5">
        <f>VALUE(LEFT(BESS_kW,6))</f>
        <v>1744</v>
      </c>
      <c r="H4" s="5" t="s">
        <v>317</v>
      </c>
      <c r="I4" s="5"/>
      <c r="J4" s="5"/>
    </row>
    <row r="5" spans="1:10" ht="14.65" x14ac:dyDescent="0.85">
      <c r="A5" t="s">
        <v>337</v>
      </c>
      <c r="B5" s="6">
        <f t="shared" ref="B5:G5" ca="1" si="1">(B4/Million)*Thousand</f>
        <v>1.502</v>
      </c>
      <c r="C5" s="6">
        <f t="shared" ca="1" si="1"/>
        <v>1.4890000000000001</v>
      </c>
      <c r="D5" s="6">
        <f t="shared" ca="1" si="1"/>
        <v>7.8609999999999998</v>
      </c>
      <c r="E5" s="6">
        <f t="shared" ca="1" si="1"/>
        <v>0.86799999999999999</v>
      </c>
      <c r="F5" s="6">
        <f t="shared" ca="1" si="1"/>
        <v>4.1029999999999998</v>
      </c>
      <c r="G5" s="6">
        <f t="shared" si="1"/>
        <v>1.7440000000000002</v>
      </c>
      <c r="H5" s="5"/>
      <c r="I5" s="5"/>
      <c r="J5" s="5"/>
    </row>
    <row r="6" spans="1:10" ht="14.65" x14ac:dyDescent="0.85">
      <c r="B6" s="4"/>
      <c r="C6" s="4"/>
      <c r="D6" s="4"/>
      <c r="E6" s="4"/>
      <c r="F6" s="4"/>
      <c r="G6" s="4"/>
      <c r="H6" s="5"/>
      <c r="I6" s="5"/>
      <c r="J6" s="5"/>
    </row>
    <row r="7" spans="1:10" s="1" customFormat="1" ht="29.15" x14ac:dyDescent="0.85">
      <c r="A7" s="1" t="s">
        <v>10</v>
      </c>
      <c r="B7" s="274" t="str">
        <f ca="1">OFFSET(LCOE_LCOS_Corner,B$8,-1)</f>
        <v>Solar, standalone</v>
      </c>
      <c r="C7" s="274" t="str">
        <f ca="1">OFFSET(LCOE_LCOS_Corner,C$8,-1)</f>
        <v>Wind, onshore</v>
      </c>
      <c r="D7" s="274" t="str">
        <f ca="1">OFFSET(LCOE_LCOS_Corner,D$8,-1)</f>
        <v>Advanced nuclear</v>
      </c>
      <c r="E7" s="274" t="str">
        <f ca="1">OFFSET(LCOE_LCOS_Corner,E$8,-1)</f>
        <v>Combined-cycle</v>
      </c>
      <c r="F7" s="274" t="str">
        <f ca="1">OFFSET(LCOE_2023_Corner,F$8,-1)</f>
        <v>Ultra-super critical coal</v>
      </c>
      <c r="G7" s="274" t="str">
        <f ca="1">OFFSET(LCOE_LCOS_Corner,G$8,-1)</f>
        <v>Battery storage</v>
      </c>
      <c r="H7" s="2"/>
      <c r="I7" s="2"/>
      <c r="J7" s="2"/>
    </row>
    <row r="8" spans="1:10" ht="14.65" x14ac:dyDescent="0.85">
      <c r="A8" t="s">
        <v>8</v>
      </c>
      <c r="B8" s="5">
        <v>9</v>
      </c>
      <c r="C8" s="5">
        <v>10</v>
      </c>
      <c r="D8" s="5">
        <v>0</v>
      </c>
      <c r="E8" s="5">
        <v>2</v>
      </c>
      <c r="F8" s="5">
        <v>0</v>
      </c>
      <c r="G8" s="5">
        <v>13</v>
      </c>
      <c r="H8" s="5"/>
      <c r="I8" s="5" t="s">
        <v>325</v>
      </c>
      <c r="J8" s="5">
        <v>1000</v>
      </c>
    </row>
    <row r="9" spans="1:10" ht="14.65" x14ac:dyDescent="0.85">
      <c r="A9" t="s">
        <v>11</v>
      </c>
      <c r="B9" s="7">
        <f t="shared" ref="B9:G9" ca="1" si="2">OFFSET(LCOE_LCOS_Corner,B$8,2) + OFFSET(LCOE_LCOS_Corner,B$8,4)</f>
        <v>17.533218759999997</v>
      </c>
      <c r="C9" s="7">
        <f t="shared" ca="1" si="2"/>
        <v>15.324695478260871</v>
      </c>
      <c r="D9" s="7">
        <f t="shared" ca="1" si="2"/>
        <v>21.355493545454546</v>
      </c>
      <c r="E9" s="7">
        <f t="shared" ca="1" si="2"/>
        <v>8.6828186399999989</v>
      </c>
      <c r="F9" s="7">
        <f t="shared" ca="1" si="2"/>
        <v>21.355493545454546</v>
      </c>
      <c r="G9" s="7">
        <f t="shared" ca="1" si="2"/>
        <v>57.932936040000001</v>
      </c>
      <c r="H9" s="5"/>
      <c r="I9" s="5" t="s">
        <v>326</v>
      </c>
      <c r="J9" s="5">
        <v>1000000</v>
      </c>
    </row>
    <row r="10" spans="1:10" ht="14.65" x14ac:dyDescent="0.85">
      <c r="A10" t="s">
        <v>12</v>
      </c>
      <c r="B10" s="7">
        <f ca="1">OFFSET(LCOE_LCOS_Corner,B$8,0)</f>
        <v>0.28999999999999998</v>
      </c>
      <c r="C10" s="7">
        <f ca="1">OFFSET(LCOE_LCOS_Corner,C$8,0)</f>
        <v>0.4</v>
      </c>
      <c r="D10" s="7">
        <f ca="1">OFFSET(LCOE_LCOS_Corner,D$8,0)</f>
        <v>0.9</v>
      </c>
      <c r="E10" s="7">
        <f ca="1">OFFSET(LCOE_LCOS_Corner,E$8,0)</f>
        <v>0.4</v>
      </c>
      <c r="F10" s="7">
        <f ca="1">OFFSET(LCOE_2023_Corner,F$8,0)</f>
        <v>0.85</v>
      </c>
      <c r="G10" s="7">
        <f ca="1">OFFSET(LCOE_LCOS_Corner,G$8,0)</f>
        <v>0.1</v>
      </c>
      <c r="H10" s="5"/>
      <c r="I10" s="5" t="s">
        <v>327</v>
      </c>
      <c r="J10" s="5">
        <v>1000000000</v>
      </c>
    </row>
    <row r="11" spans="1:10" ht="14.65" x14ac:dyDescent="0.85">
      <c r="A11" t="s">
        <v>13</v>
      </c>
      <c r="B11" s="7">
        <f ca="1">365.25*24*B10</f>
        <v>2542.14</v>
      </c>
      <c r="C11" s="7">
        <f t="shared" ref="C11:G11" ca="1" si="3">365.25*24*C10</f>
        <v>3506.4</v>
      </c>
      <c r="D11" s="7">
        <f t="shared" ca="1" si="3"/>
        <v>7889.4000000000005</v>
      </c>
      <c r="E11" s="7">
        <f t="shared" ca="1" si="3"/>
        <v>3506.4</v>
      </c>
      <c r="F11" s="7">
        <f ca="1">365.25*24*F10</f>
        <v>7451.0999999999995</v>
      </c>
      <c r="G11" s="7">
        <f t="shared" ca="1" si="3"/>
        <v>876.6</v>
      </c>
      <c r="H11" s="5"/>
      <c r="I11" s="5" t="s">
        <v>328</v>
      </c>
      <c r="J11" s="5">
        <v>1000000000000</v>
      </c>
    </row>
    <row r="12" spans="1:10" ht="14.65" x14ac:dyDescent="0.85">
      <c r="A12" t="s">
        <v>323</v>
      </c>
      <c r="B12" s="7">
        <f ca="1">B9*B11</f>
        <v>44571.896738546391</v>
      </c>
      <c r="C12" s="7">
        <f t="shared" ref="C12:G12" ca="1" si="4">C9*C11</f>
        <v>53734.512224973922</v>
      </c>
      <c r="D12" s="7">
        <f t="shared" ca="1" si="4"/>
        <v>168482.03077750912</v>
      </c>
      <c r="E12" s="7">
        <f t="shared" ca="1" si="4"/>
        <v>30445.435279295998</v>
      </c>
      <c r="F12" s="7">
        <f t="shared" ca="1" si="4"/>
        <v>159121.91795653637</v>
      </c>
      <c r="G12" s="7">
        <f t="shared" ca="1" si="4"/>
        <v>50784.011732664003</v>
      </c>
      <c r="H12" s="5"/>
      <c r="I12" s="5"/>
      <c r="J12" s="5"/>
    </row>
    <row r="13" spans="1:10" ht="14.65" x14ac:dyDescent="0.85">
      <c r="A13" t="s">
        <v>321</v>
      </c>
      <c r="B13" s="6">
        <f t="shared" ref="B13:G13" ca="1" si="5">(B12/Billion) * Thousand</f>
        <v>4.457189673854639E-2</v>
      </c>
      <c r="C13" s="6">
        <f t="shared" ca="1" si="5"/>
        <v>5.373451222497392E-2</v>
      </c>
      <c r="D13" s="6">
        <f t="shared" ca="1" si="5"/>
        <v>0.16848203077750912</v>
      </c>
      <c r="E13" s="6">
        <f t="shared" ca="1" si="5"/>
        <v>3.0445435279295999E-2</v>
      </c>
      <c r="F13" s="6">
        <f t="shared" ca="1" si="5"/>
        <v>0.15912191795653638</v>
      </c>
      <c r="G13" s="6">
        <f t="shared" ca="1" si="5"/>
        <v>5.0784011732664003E-2</v>
      </c>
      <c r="H13" s="5"/>
      <c r="I13" s="5"/>
      <c r="J13" s="5"/>
    </row>
    <row r="14" spans="1:10" ht="14.65" x14ac:dyDescent="0.85">
      <c r="A14" t="s">
        <v>14</v>
      </c>
      <c r="B14" s="7">
        <f ca="1">OFFSET(LCOE_LCOS_Corner,B$8,3)</f>
        <v>0</v>
      </c>
      <c r="C14" s="7">
        <f ca="1">OFFSET(LCOE_LCOS_Corner,C$8,3)</f>
        <v>0</v>
      </c>
      <c r="D14" s="7">
        <f ca="1">OFFSET(LCOE_LCOS_Corner,D$8,3)</f>
        <v>10.447666545454544</v>
      </c>
      <c r="E14" s="7">
        <f ca="1">OFFSET(LCOE_LCOS_Corner,E$8,3)</f>
        <v>32.188287519999996</v>
      </c>
      <c r="F14" s="7">
        <f ca="1">OFFSET(LCOE_2023_Corner,F$8,3)</f>
        <v>23.28</v>
      </c>
      <c r="G14" s="7">
        <f ca="1">OFFSET(LCOE_LCOS_Corner,G$8,3)</f>
        <v>4.6793194800000002</v>
      </c>
      <c r="H14" s="5"/>
      <c r="I14" s="5"/>
      <c r="J14" s="5"/>
    </row>
    <row r="15" spans="1:10" ht="14.65" x14ac:dyDescent="0.85">
      <c r="A15" t="s">
        <v>322</v>
      </c>
      <c r="B15" s="6">
        <f t="shared" ref="B15:G15" ca="1" si="6">(B14/Billion)*Million</f>
        <v>0</v>
      </c>
      <c r="C15" s="6">
        <f t="shared" ca="1" si="6"/>
        <v>0</v>
      </c>
      <c r="D15" s="6">
        <f t="shared" ca="1" si="6"/>
        <v>1.0447666545454544E-2</v>
      </c>
      <c r="E15" s="6">
        <f t="shared" ca="1" si="6"/>
        <v>3.2188287519999997E-2</v>
      </c>
      <c r="F15" s="6">
        <f t="shared" ca="1" si="6"/>
        <v>2.3280000000000002E-2</v>
      </c>
      <c r="G15" s="6">
        <f t="shared" ca="1" si="6"/>
        <v>4.6793194800000002E-3</v>
      </c>
      <c r="H15" s="5"/>
      <c r="I15" s="5"/>
      <c r="J15" s="5"/>
    </row>
    <row r="16" spans="1:10" x14ac:dyDescent="0.85">
      <c r="B16" s="7"/>
      <c r="C16" s="7"/>
      <c r="D16" s="7"/>
      <c r="E16" s="7"/>
      <c r="F16" s="7"/>
      <c r="G16" s="7"/>
      <c r="H16" s="5"/>
      <c r="I16" s="5"/>
      <c r="J16" s="5"/>
    </row>
    <row r="17" spans="1:14" s="9" customFormat="1" ht="29.15" x14ac:dyDescent="0.85">
      <c r="A17" s="3" t="s">
        <v>15</v>
      </c>
      <c r="B17" s="274" t="str">
        <f t="shared" ref="B17:G17" ca="1" si="7">OFFSET(CO2e_Corner,B$18,0)</f>
        <v>mono-Si</v>
      </c>
      <c r="C17" s="274" t="str">
        <f t="shared" ca="1" si="7"/>
        <v>Land-based</v>
      </c>
      <c r="D17" s="274" t="str">
        <f t="shared" ca="1" si="7"/>
        <v>Pressurized Water Reactor</v>
      </c>
      <c r="E17" s="274" t="str">
        <f t="shared" ca="1" si="7"/>
        <v>NGCC</v>
      </c>
      <c r="F17" s="274" t="str">
        <f t="shared" ca="1" si="7"/>
        <v>Pulverized Supercitical</v>
      </c>
      <c r="G17" s="274" t="str">
        <f t="shared" ca="1" si="7"/>
        <v>Li-Ion Battery Storage</v>
      </c>
      <c r="H17" s="8"/>
      <c r="I17" s="8"/>
      <c r="J17" s="8"/>
    </row>
    <row r="18" spans="1:14" x14ac:dyDescent="0.85">
      <c r="A18" t="s">
        <v>8</v>
      </c>
      <c r="B18" s="5">
        <v>11</v>
      </c>
      <c r="C18">
        <v>28</v>
      </c>
      <c r="D18">
        <v>31</v>
      </c>
      <c r="E18">
        <v>39</v>
      </c>
      <c r="F18">
        <v>54</v>
      </c>
      <c r="G18">
        <v>56</v>
      </c>
      <c r="N18" s="10"/>
    </row>
    <row r="19" spans="1:14" x14ac:dyDescent="0.85">
      <c r="A19" t="s">
        <v>16</v>
      </c>
      <c r="B19" s="5">
        <f t="shared" ref="B19:G19" ca="1" si="8">OFFSET(CO2e_Corner,B$18,23)</f>
        <v>64</v>
      </c>
      <c r="C19" s="5">
        <f t="shared" ca="1" si="8"/>
        <v>12.149999999999999</v>
      </c>
      <c r="D19" s="5">
        <f t="shared" ca="1" si="8"/>
        <v>14</v>
      </c>
      <c r="E19" s="5">
        <f t="shared" ca="1" si="8"/>
        <v>450</v>
      </c>
      <c r="F19" s="5">
        <f t="shared" ca="1" si="8"/>
        <v>863</v>
      </c>
      <c r="G19" s="5">
        <f t="shared" ca="1" si="8"/>
        <v>32.889621666768804</v>
      </c>
      <c r="N19" s="10"/>
    </row>
    <row r="20" spans="1:14" x14ac:dyDescent="0.85">
      <c r="A20" t="s">
        <v>324</v>
      </c>
      <c r="B20" s="11">
        <f t="shared" ref="B20:G20" ca="1" si="9">B19*(1/Million)*(1/Million)*(Million)</f>
        <v>6.3999999999999997E-5</v>
      </c>
      <c r="C20" s="11">
        <f t="shared" ca="1" si="9"/>
        <v>1.2149999999999999E-5</v>
      </c>
      <c r="D20" s="11">
        <f t="shared" ca="1" si="9"/>
        <v>1.3999999999999998E-5</v>
      </c>
      <c r="E20" s="11">
        <f t="shared" ca="1" si="9"/>
        <v>4.4999999999999993E-4</v>
      </c>
      <c r="F20" s="11">
        <f t="shared" ca="1" si="9"/>
        <v>8.6299999999999994E-4</v>
      </c>
      <c r="G20" s="11">
        <f t="shared" ca="1" si="9"/>
        <v>3.28896216667688E-5</v>
      </c>
      <c r="N20" s="10"/>
    </row>
    <row r="21" spans="1:14" x14ac:dyDescent="0.85">
      <c r="B21" s="12"/>
      <c r="C21" s="12"/>
      <c r="D21" s="12"/>
      <c r="E21" s="12"/>
      <c r="F21" s="12"/>
      <c r="G21" s="12"/>
      <c r="N21" s="10"/>
    </row>
    <row r="22" spans="1:14" x14ac:dyDescent="0.85">
      <c r="A22" s="1" t="s">
        <v>17</v>
      </c>
      <c r="N22" s="10"/>
    </row>
    <row r="23" spans="1:14" x14ac:dyDescent="0.85">
      <c r="A23" t="s">
        <v>18</v>
      </c>
      <c r="B23" s="13">
        <f>Lifetimes!B8</f>
        <v>25</v>
      </c>
      <c r="C23" s="13">
        <f>Lifetimes!C8</f>
        <v>25</v>
      </c>
      <c r="D23" s="13">
        <f>Lifetimes!D8</f>
        <v>60</v>
      </c>
      <c r="E23" s="13">
        <f>Lifetimes!E8</f>
        <v>35</v>
      </c>
      <c r="F23" s="13">
        <f>Lifetimes!F8</f>
        <v>35</v>
      </c>
      <c r="G23" s="14">
        <f>Lifetimes!B16</f>
        <v>15</v>
      </c>
      <c r="N23" s="10"/>
    </row>
    <row r="24" spans="1:14" x14ac:dyDescent="0.85">
      <c r="N24" s="10"/>
    </row>
    <row r="25" spans="1:14" ht="30.45" customHeight="1" x14ac:dyDescent="0.85">
      <c r="A25" s="1" t="s">
        <v>19</v>
      </c>
      <c r="B25" s="4" t="str">
        <f t="shared" ref="B25:G25" ca="1" si="10">OFFSET(Build_Corner,-2,B$26)</f>
        <v xml:space="preserve">Solar </v>
      </c>
      <c r="C25" s="4" t="str">
        <f t="shared" ca="1" si="10"/>
        <v>Wind</v>
      </c>
      <c r="D25" s="4" t="str">
        <f t="shared" ca="1" si="10"/>
        <v>Nuclear Electric Power</v>
      </c>
      <c r="E25" s="4" t="str">
        <f t="shared" ca="1" si="10"/>
        <v xml:space="preserve">Natural Gas </v>
      </c>
      <c r="F25" s="4" t="str">
        <f t="shared" ca="1" si="10"/>
        <v xml:space="preserve">Coal </v>
      </c>
      <c r="G25" s="4" t="str">
        <f t="shared" ca="1" si="10"/>
        <v>Battery Storage</v>
      </c>
      <c r="N25" s="10"/>
    </row>
    <row r="26" spans="1:14" x14ac:dyDescent="0.85">
      <c r="A26" t="s">
        <v>20</v>
      </c>
      <c r="B26" s="5">
        <v>10</v>
      </c>
      <c r="C26">
        <v>11</v>
      </c>
      <c r="D26">
        <v>4</v>
      </c>
      <c r="E26">
        <v>2</v>
      </c>
      <c r="F26">
        <v>0</v>
      </c>
      <c r="G26">
        <v>13</v>
      </c>
      <c r="N26" s="10"/>
    </row>
    <row r="27" spans="1:14" x14ac:dyDescent="0.85">
      <c r="A27" t="s">
        <v>21</v>
      </c>
      <c r="B27" s="15">
        <f t="shared" ref="B27:G27" ca="1" si="11">OFFSET(Build_Corner,-1,B26)</f>
        <v>2.4849306357958487E-2</v>
      </c>
      <c r="C27" s="15">
        <f t="shared" ca="1" si="11"/>
        <v>1.3272599181487203E-2</v>
      </c>
      <c r="D27" s="15">
        <f t="shared" ca="1" si="11"/>
        <v>1.9602988260405553E-2</v>
      </c>
      <c r="E27" s="15">
        <f t="shared" ca="1" si="11"/>
        <v>6.5921648245557837E-2</v>
      </c>
      <c r="F27" s="15">
        <f t="shared" ca="1" si="11"/>
        <v>5.7933150075872757E-3</v>
      </c>
      <c r="G27" s="15">
        <f t="shared" ca="1" si="11"/>
        <v>8.1971811974666069E-3</v>
      </c>
      <c r="N27" s="10"/>
    </row>
    <row r="28" spans="1:14" x14ac:dyDescent="0.85">
      <c r="N28" s="10"/>
    </row>
    <row r="29" spans="1:14" x14ac:dyDescent="0.85">
      <c r="A29" s="1" t="s">
        <v>314</v>
      </c>
      <c r="B29" s="2" t="s">
        <v>315</v>
      </c>
      <c r="C29" s="1" t="s">
        <v>316</v>
      </c>
      <c r="N29" s="10"/>
    </row>
    <row r="30" spans="1:14" x14ac:dyDescent="0.85">
      <c r="B30" s="15">
        <f>Lifetimes!C16</f>
        <v>0.85</v>
      </c>
      <c r="C30" s="13">
        <v>4</v>
      </c>
      <c r="N30" s="10"/>
    </row>
    <row r="31" spans="1:14" x14ac:dyDescent="0.85">
      <c r="N31" s="10"/>
    </row>
    <row r="32" spans="1:14" x14ac:dyDescent="0.85">
      <c r="N32" s="10"/>
    </row>
    <row r="33" spans="14:14" x14ac:dyDescent="0.85">
      <c r="N33" s="10"/>
    </row>
    <row r="34" spans="14:14" x14ac:dyDescent="0.85">
      <c r="N34" s="10"/>
    </row>
    <row r="35" spans="14:14" x14ac:dyDescent="0.85">
      <c r="N35" s="10"/>
    </row>
    <row r="36" spans="14:14" x14ac:dyDescent="0.85">
      <c r="N36" s="10"/>
    </row>
    <row r="37" spans="14:14" x14ac:dyDescent="0.85">
      <c r="N37" s="10"/>
    </row>
    <row r="38" spans="14:14" x14ac:dyDescent="0.85">
      <c r="N38" s="10"/>
    </row>
    <row r="39" spans="14:14" x14ac:dyDescent="0.85">
      <c r="N39" s="10"/>
    </row>
    <row r="40" spans="14:14" x14ac:dyDescent="0.85">
      <c r="N40" s="10"/>
    </row>
    <row r="41" spans="14:14" x14ac:dyDescent="0.85">
      <c r="N41" s="10"/>
    </row>
    <row r="42" spans="14:14" x14ac:dyDescent="0.85">
      <c r="N42" s="10"/>
    </row>
    <row r="43" spans="14:14" x14ac:dyDescent="0.85">
      <c r="N43" s="10"/>
    </row>
    <row r="44" spans="14:14" x14ac:dyDescent="0.85">
      <c r="N44" s="10"/>
    </row>
    <row r="45" spans="14:14" x14ac:dyDescent="0.85">
      <c r="N45" s="10"/>
    </row>
    <row r="46" spans="14:14" x14ac:dyDescent="0.85">
      <c r="N46" s="10"/>
    </row>
    <row r="47" spans="14:14" x14ac:dyDescent="0.85">
      <c r="N47" s="10"/>
    </row>
    <row r="48" spans="14:14" x14ac:dyDescent="0.85">
      <c r="N48" s="10"/>
    </row>
    <row r="49" spans="14:14" x14ac:dyDescent="0.85">
      <c r="N49" s="10"/>
    </row>
    <row r="50" spans="14:14" x14ac:dyDescent="0.85">
      <c r="N50" s="10"/>
    </row>
    <row r="51" spans="14:14" x14ac:dyDescent="0.85">
      <c r="N51" s="10"/>
    </row>
    <row r="52" spans="14:14" x14ac:dyDescent="0.85">
      <c r="N52" s="10"/>
    </row>
    <row r="53" spans="14:14" x14ac:dyDescent="0.85">
      <c r="N53" s="10"/>
    </row>
    <row r="54" spans="14:14" x14ac:dyDescent="0.85">
      <c r="N54" s="10"/>
    </row>
    <row r="55" spans="14:14" x14ac:dyDescent="0.85">
      <c r="N55" s="10"/>
    </row>
    <row r="56" spans="14:14" x14ac:dyDescent="0.85">
      <c r="N56" s="10"/>
    </row>
    <row r="57" spans="14:14" x14ac:dyDescent="0.85">
      <c r="N57" s="10"/>
    </row>
    <row r="58" spans="14:14" x14ac:dyDescent="0.85">
      <c r="N58" s="10"/>
    </row>
    <row r="59" spans="14:14" x14ac:dyDescent="0.85">
      <c r="N59" s="10"/>
    </row>
    <row r="60" spans="14:14" x14ac:dyDescent="0.85">
      <c r="N60" s="10"/>
    </row>
    <row r="61" spans="14:14" x14ac:dyDescent="0.85">
      <c r="N61" s="10"/>
    </row>
    <row r="62" spans="14:14" x14ac:dyDescent="0.85">
      <c r="N62" s="10"/>
    </row>
    <row r="63" spans="14:14" x14ac:dyDescent="0.85">
      <c r="N63" s="10"/>
    </row>
    <row r="64" spans="14:14" x14ac:dyDescent="0.85">
      <c r="N64" s="10"/>
    </row>
    <row r="65" spans="14:14" x14ac:dyDescent="0.85">
      <c r="N65" s="10"/>
    </row>
    <row r="66" spans="14:14" x14ac:dyDescent="0.85">
      <c r="N66" s="10"/>
    </row>
    <row r="67" spans="14:14" x14ac:dyDescent="0.85">
      <c r="N67" s="10"/>
    </row>
    <row r="68" spans="14:14" x14ac:dyDescent="0.85">
      <c r="N68" s="10"/>
    </row>
    <row r="69" spans="14:14" x14ac:dyDescent="0.85">
      <c r="N69" s="10"/>
    </row>
    <row r="70" spans="14:14" x14ac:dyDescent="0.85">
      <c r="N70" s="10"/>
    </row>
    <row r="71" spans="14:14" x14ac:dyDescent="0.85">
      <c r="N71" s="10"/>
    </row>
    <row r="72" spans="14:14" x14ac:dyDescent="0.85">
      <c r="N72" s="10"/>
    </row>
    <row r="73" spans="14:14" x14ac:dyDescent="0.85">
      <c r="N73" s="10"/>
    </row>
    <row r="74" spans="14:14" x14ac:dyDescent="0.85">
      <c r="N74" s="10"/>
    </row>
    <row r="75" spans="14:14" x14ac:dyDescent="0.85">
      <c r="N75" s="10"/>
    </row>
    <row r="76" spans="14:14" x14ac:dyDescent="0.85">
      <c r="N76" s="10"/>
    </row>
    <row r="77" spans="14:14" x14ac:dyDescent="0.85">
      <c r="N77" s="10"/>
    </row>
    <row r="78" spans="14:14" x14ac:dyDescent="0.85">
      <c r="N78" s="10"/>
    </row>
    <row r="79" spans="14:14" x14ac:dyDescent="0.85">
      <c r="N79" s="10"/>
    </row>
    <row r="80" spans="14:14" x14ac:dyDescent="0.85">
      <c r="N80" s="10"/>
    </row>
    <row r="81" spans="14:14" x14ac:dyDescent="0.85">
      <c r="N81" s="10"/>
    </row>
    <row r="82" spans="14:14" x14ac:dyDescent="0.85">
      <c r="N82" s="10"/>
    </row>
    <row r="83" spans="14:14" x14ac:dyDescent="0.85">
      <c r="N83" s="10"/>
    </row>
    <row r="84" spans="14:14" x14ac:dyDescent="0.85">
      <c r="N84" s="10"/>
    </row>
    <row r="85" spans="14:14" x14ac:dyDescent="0.85">
      <c r="N85" s="10"/>
    </row>
    <row r="86" spans="14:14" x14ac:dyDescent="0.85">
      <c r="N86" s="10"/>
    </row>
    <row r="87" spans="14:14" x14ac:dyDescent="0.85">
      <c r="N87" s="10"/>
    </row>
    <row r="88" spans="14:14" x14ac:dyDescent="0.85">
      <c r="N88" s="10"/>
    </row>
    <row r="89" spans="14:14" x14ac:dyDescent="0.85">
      <c r="N89" s="10"/>
    </row>
    <row r="90" spans="14:14" x14ac:dyDescent="0.85">
      <c r="N90" s="10"/>
    </row>
    <row r="91" spans="14:14" x14ac:dyDescent="0.85">
      <c r="N91" s="10"/>
    </row>
    <row r="92" spans="14:14" x14ac:dyDescent="0.85">
      <c r="N92" s="10"/>
    </row>
    <row r="93" spans="14:14" x14ac:dyDescent="0.85">
      <c r="N93" s="10"/>
    </row>
    <row r="94" spans="14:14" x14ac:dyDescent="0.85">
      <c r="N94" s="10"/>
    </row>
    <row r="95" spans="14:14" x14ac:dyDescent="0.85">
      <c r="N95" s="10"/>
    </row>
    <row r="96" spans="14:14" x14ac:dyDescent="0.85">
      <c r="N96" s="10"/>
    </row>
    <row r="97" spans="14:14" x14ac:dyDescent="0.85">
      <c r="N97" s="10"/>
    </row>
    <row r="98" spans="14:14" x14ac:dyDescent="0.85">
      <c r="N98" s="10"/>
    </row>
    <row r="99" spans="14:14" x14ac:dyDescent="0.85">
      <c r="N99" s="10"/>
    </row>
    <row r="100" spans="14:14" x14ac:dyDescent="0.85">
      <c r="N100" s="10"/>
    </row>
    <row r="101" spans="14:14" x14ac:dyDescent="0.85">
      <c r="N101" s="10"/>
    </row>
    <row r="102" spans="14:14" x14ac:dyDescent="0.85">
      <c r="N102" s="10"/>
    </row>
    <row r="103" spans="14:14" x14ac:dyDescent="0.85">
      <c r="N103" s="10"/>
    </row>
    <row r="104" spans="14:14" x14ac:dyDescent="0.85">
      <c r="N104" s="10"/>
    </row>
    <row r="105" spans="14:14" x14ac:dyDescent="0.85">
      <c r="N105" s="10"/>
    </row>
    <row r="106" spans="14:14" x14ac:dyDescent="0.85">
      <c r="N106" s="10"/>
    </row>
    <row r="107" spans="14:14" x14ac:dyDescent="0.85">
      <c r="N107" s="10"/>
    </row>
    <row r="108" spans="14:14" x14ac:dyDescent="0.85">
      <c r="N108" s="10"/>
    </row>
    <row r="109" spans="14:14" x14ac:dyDescent="0.85">
      <c r="N109" s="10"/>
    </row>
    <row r="110" spans="14:14" x14ac:dyDescent="0.85">
      <c r="N110" s="10"/>
    </row>
    <row r="111" spans="14:14" x14ac:dyDescent="0.85">
      <c r="N111" s="10"/>
    </row>
    <row r="112" spans="14:14" x14ac:dyDescent="0.85">
      <c r="N112" s="10"/>
    </row>
    <row r="113" spans="14:14" x14ac:dyDescent="0.85">
      <c r="N113" s="10"/>
    </row>
    <row r="114" spans="14:14" x14ac:dyDescent="0.85">
      <c r="N114" s="10"/>
    </row>
    <row r="115" spans="14:14" x14ac:dyDescent="0.85">
      <c r="N115" s="10"/>
    </row>
    <row r="116" spans="14:14" x14ac:dyDescent="0.85">
      <c r="N116" s="10"/>
    </row>
    <row r="117" spans="14:14" x14ac:dyDescent="0.85">
      <c r="N117" s="10"/>
    </row>
    <row r="118" spans="14:14" x14ac:dyDescent="0.85">
      <c r="N118" s="10"/>
    </row>
    <row r="119" spans="14:14" x14ac:dyDescent="0.85">
      <c r="N119" s="10"/>
    </row>
    <row r="120" spans="14:14" x14ac:dyDescent="0.85">
      <c r="N120" s="10"/>
    </row>
    <row r="121" spans="14:14" x14ac:dyDescent="0.85">
      <c r="N121" s="10"/>
    </row>
    <row r="122" spans="14:14" x14ac:dyDescent="0.85">
      <c r="N122" s="10"/>
    </row>
    <row r="123" spans="14:14" x14ac:dyDescent="0.85">
      <c r="N123" s="10"/>
    </row>
    <row r="124" spans="14:14" x14ac:dyDescent="0.85">
      <c r="N124" s="10"/>
    </row>
    <row r="125" spans="14:14" x14ac:dyDescent="0.85">
      <c r="N125" s="10"/>
    </row>
    <row r="126" spans="14:14" x14ac:dyDescent="0.85">
      <c r="N126" s="10"/>
    </row>
    <row r="127" spans="14:14" x14ac:dyDescent="0.85">
      <c r="N127" s="10"/>
    </row>
    <row r="128" spans="14:14" x14ac:dyDescent="0.85">
      <c r="N128" s="10"/>
    </row>
    <row r="129" spans="14:14" x14ac:dyDescent="0.85">
      <c r="N129" s="10"/>
    </row>
    <row r="130" spans="14:14" x14ac:dyDescent="0.85">
      <c r="N130" s="10"/>
    </row>
    <row r="131" spans="14:14" x14ac:dyDescent="0.85">
      <c r="N131" s="10"/>
    </row>
    <row r="132" spans="14:14" x14ac:dyDescent="0.85">
      <c r="N132" s="10"/>
    </row>
    <row r="133" spans="14:14" x14ac:dyDescent="0.85">
      <c r="N133" s="10"/>
    </row>
    <row r="134" spans="14:14" x14ac:dyDescent="0.85">
      <c r="N134" s="10"/>
    </row>
    <row r="135" spans="14:14" x14ac:dyDescent="0.85">
      <c r="N135" s="10"/>
    </row>
    <row r="136" spans="14:14" x14ac:dyDescent="0.85">
      <c r="N136" s="10"/>
    </row>
    <row r="137" spans="14:14" x14ac:dyDescent="0.85">
      <c r="N137" s="10"/>
    </row>
    <row r="138" spans="14:14" x14ac:dyDescent="0.85">
      <c r="N138" s="10"/>
    </row>
    <row r="139" spans="14:14" x14ac:dyDescent="0.85">
      <c r="N139" s="10"/>
    </row>
    <row r="140" spans="14:14" x14ac:dyDescent="0.85">
      <c r="N140" s="10"/>
    </row>
    <row r="141" spans="14:14" x14ac:dyDescent="0.85">
      <c r="N141" s="10"/>
    </row>
    <row r="142" spans="14:14" x14ac:dyDescent="0.85">
      <c r="N142" s="10"/>
    </row>
    <row r="143" spans="14:14" x14ac:dyDescent="0.85">
      <c r="N143" s="10"/>
    </row>
    <row r="144" spans="14:14" x14ac:dyDescent="0.85">
      <c r="N144" s="10"/>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AD9ED-143B-45FC-9D65-5D46A1EC0D80}">
  <sheetPr codeName="Sheet2"/>
  <dimension ref="A1:H23"/>
  <sheetViews>
    <sheetView tabSelected="1" workbookViewId="0">
      <selection activeCell="B3" sqref="B3"/>
    </sheetView>
  </sheetViews>
  <sheetFormatPr defaultRowHeight="14.6" x14ac:dyDescent="0.85"/>
  <cols>
    <col min="1" max="1" width="16.65234375" customWidth="1"/>
    <col min="2" max="8" width="11.65234375" bestFit="1" customWidth="1"/>
    <col min="9" max="9" width="14.3046875" bestFit="1" customWidth="1"/>
  </cols>
  <sheetData>
    <row r="1" spans="1:8" x14ac:dyDescent="0.85">
      <c r="B1" t="s">
        <v>320</v>
      </c>
    </row>
    <row r="2" spans="1:8" x14ac:dyDescent="0.85">
      <c r="B2" t="s">
        <v>1</v>
      </c>
      <c r="C2" t="s">
        <v>2</v>
      </c>
      <c r="D2" t="s">
        <v>3</v>
      </c>
      <c r="E2" t="s">
        <v>4</v>
      </c>
      <c r="F2" t="s">
        <v>5</v>
      </c>
      <c r="G2" t="s">
        <v>22</v>
      </c>
      <c r="H2" t="s">
        <v>331</v>
      </c>
    </row>
    <row r="3" spans="1:8" x14ac:dyDescent="0.85">
      <c r="A3" t="s">
        <v>333</v>
      </c>
      <c r="B3">
        <f ca="1">Calc!B5</f>
        <v>1.502</v>
      </c>
      <c r="C3">
        <f ca="1">Calc!C5</f>
        <v>1.4890000000000001</v>
      </c>
      <c r="D3">
        <f ca="1">Calc!D5</f>
        <v>7.8609999999999998</v>
      </c>
      <c r="E3">
        <f ca="1">Calc!E5</f>
        <v>0.86799999999999999</v>
      </c>
      <c r="F3">
        <f ca="1">Calc!F5</f>
        <v>4.1029999999999998</v>
      </c>
      <c r="G3">
        <f>Calc!G5</f>
        <v>1.7440000000000002</v>
      </c>
      <c r="H3" t="s">
        <v>329</v>
      </c>
    </row>
    <row r="4" spans="1:8" x14ac:dyDescent="0.85">
      <c r="A4" t="s">
        <v>334</v>
      </c>
      <c r="B4">
        <f ca="1">Calc!B13</f>
        <v>4.457189673854639E-2</v>
      </c>
      <c r="C4">
        <f ca="1">Calc!C13</f>
        <v>5.373451222497392E-2</v>
      </c>
      <c r="D4">
        <f ca="1">Calc!D13</f>
        <v>0.16848203077750912</v>
      </c>
      <c r="E4">
        <f ca="1">Calc!E13</f>
        <v>3.0445435279295999E-2</v>
      </c>
      <c r="F4">
        <f ca="1">Calc!F13</f>
        <v>0.15912191795653638</v>
      </c>
      <c r="G4">
        <f ca="1">Calc!G13</f>
        <v>5.0784011732664003E-2</v>
      </c>
      <c r="H4" t="s">
        <v>329</v>
      </c>
    </row>
    <row r="5" spans="1:8" x14ac:dyDescent="0.85">
      <c r="A5" t="s">
        <v>335</v>
      </c>
      <c r="B5">
        <f ca="1">Calc!B14</f>
        <v>0</v>
      </c>
      <c r="C5">
        <f ca="1">Calc!C14</f>
        <v>0</v>
      </c>
      <c r="D5">
        <f ca="1">Calc!D14</f>
        <v>10.447666545454544</v>
      </c>
      <c r="E5">
        <f ca="1">Calc!E14</f>
        <v>32.188287519999996</v>
      </c>
      <c r="F5">
        <f ca="1">Calc!F14</f>
        <v>23.28</v>
      </c>
      <c r="G5">
        <f ca="1">Calc!G14</f>
        <v>4.6793194800000002</v>
      </c>
      <c r="H5" t="s">
        <v>329</v>
      </c>
    </row>
    <row r="6" spans="1:8" x14ac:dyDescent="0.85">
      <c r="A6" t="s">
        <v>336</v>
      </c>
      <c r="B6">
        <f ca="1">Calc!B20</f>
        <v>6.3999999999999997E-5</v>
      </c>
      <c r="C6">
        <f ca="1">Calc!C20</f>
        <v>1.2149999999999999E-5</v>
      </c>
      <c r="D6">
        <f ca="1">Calc!D20</f>
        <v>1.3999999999999998E-5</v>
      </c>
      <c r="E6">
        <f ca="1">Calc!E20</f>
        <v>4.4999999999999993E-4</v>
      </c>
      <c r="F6">
        <f ca="1">Calc!F20</f>
        <v>8.6299999999999994E-4</v>
      </c>
      <c r="G6">
        <f ca="1">Calc!G20</f>
        <v>3.28896216667688E-5</v>
      </c>
      <c r="H6" s="16" t="s">
        <v>330</v>
      </c>
    </row>
    <row r="7" spans="1:8" x14ac:dyDescent="0.85">
      <c r="A7" t="s">
        <v>17</v>
      </c>
      <c r="B7" s="5">
        <f>Calc!B23</f>
        <v>25</v>
      </c>
      <c r="C7" s="5">
        <f>Calc!C23</f>
        <v>25</v>
      </c>
      <c r="D7" s="5">
        <f>Calc!D23</f>
        <v>60</v>
      </c>
      <c r="E7" s="5">
        <f>Calc!E23</f>
        <v>35</v>
      </c>
      <c r="F7" s="5">
        <f>Calc!F23</f>
        <v>35</v>
      </c>
      <c r="G7" s="5">
        <f>Calc!G23</f>
        <v>15</v>
      </c>
      <c r="H7" t="s">
        <v>318</v>
      </c>
    </row>
    <row r="8" spans="1:8" x14ac:dyDescent="0.85">
      <c r="A8" t="s">
        <v>23</v>
      </c>
      <c r="B8" s="17">
        <f ca="1">Calc!B27</f>
        <v>2.4849306357958487E-2</v>
      </c>
      <c r="C8" s="17">
        <f ca="1">Calc!C27</f>
        <v>1.3272599181487203E-2</v>
      </c>
      <c r="D8" s="17">
        <f ca="1">Calc!D27</f>
        <v>1.9602988260405553E-2</v>
      </c>
      <c r="E8" s="17">
        <f ca="1">Calc!E27</f>
        <v>6.5921648245557837E-2</v>
      </c>
      <c r="F8" s="17">
        <f ca="1">Calc!F27</f>
        <v>5.7933150075872757E-3</v>
      </c>
      <c r="G8" s="17">
        <f ca="1">Calc!G27</f>
        <v>8.1971811974666069E-3</v>
      </c>
      <c r="H8" s="18" t="s">
        <v>319</v>
      </c>
    </row>
    <row r="9" spans="1:8" x14ac:dyDescent="0.85">
      <c r="A9" t="s">
        <v>315</v>
      </c>
      <c r="G9" s="17">
        <f>Calc!B30</f>
        <v>0.85</v>
      </c>
      <c r="H9" t="s">
        <v>332</v>
      </c>
    </row>
    <row r="10" spans="1:8" x14ac:dyDescent="0.85">
      <c r="A10" t="s">
        <v>316</v>
      </c>
      <c r="G10">
        <f>Calc!C30</f>
        <v>4</v>
      </c>
      <c r="H10" t="s">
        <v>316</v>
      </c>
    </row>
    <row r="11" spans="1:8" x14ac:dyDescent="0.85"/>
    <row r="12" spans="1:8" x14ac:dyDescent="0.85"/>
    <row r="13" spans="1:8" x14ac:dyDescent="0.85">
      <c r="G13" s="18"/>
    </row>
    <row r="14" spans="1:8" x14ac:dyDescent="0.85"/>
    <row r="15" spans="1:8" x14ac:dyDescent="0.85"/>
    <row r="17" spans="2:7" x14ac:dyDescent="0.85">
      <c r="B17" s="19"/>
      <c r="C17" s="19"/>
      <c r="D17" s="19"/>
      <c r="E17" s="19"/>
      <c r="F17" s="19"/>
      <c r="G17" s="19"/>
    </row>
    <row r="18" spans="2:7" x14ac:dyDescent="0.85">
      <c r="B18" s="19"/>
      <c r="C18" s="19"/>
      <c r="D18" s="19"/>
      <c r="E18" s="19"/>
      <c r="F18" s="19"/>
      <c r="G18" s="19"/>
    </row>
    <row r="19" spans="2:7" x14ac:dyDescent="0.85">
      <c r="B19" s="19"/>
      <c r="C19" s="19"/>
      <c r="D19" s="19"/>
      <c r="E19" s="19"/>
      <c r="F19" s="19"/>
      <c r="G19" s="19"/>
    </row>
    <row r="20" spans="2:7" x14ac:dyDescent="0.85">
      <c r="B20" s="19"/>
      <c r="C20" s="19"/>
      <c r="D20" s="19"/>
      <c r="E20" s="19"/>
      <c r="F20" s="19"/>
      <c r="G20" s="19"/>
    </row>
    <row r="21" spans="2:7" x14ac:dyDescent="0.85">
      <c r="B21" s="19"/>
      <c r="C21" s="19"/>
      <c r="D21" s="19"/>
      <c r="E21" s="19"/>
      <c r="F21" s="19"/>
      <c r="G21" s="19"/>
    </row>
    <row r="22" spans="2:7" x14ac:dyDescent="0.85">
      <c r="B22" s="19"/>
      <c r="C22" s="19"/>
      <c r="D22" s="19"/>
      <c r="E22" s="19"/>
      <c r="F22" s="19"/>
      <c r="G22" s="19"/>
    </row>
    <row r="23" spans="2:7" x14ac:dyDescent="0.8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89CC-910D-44DB-A28B-6366270C935C}">
  <sheetPr codeName="Sheet3"/>
  <dimension ref="A1:K22"/>
  <sheetViews>
    <sheetView topLeftCell="A7" workbookViewId="0">
      <selection activeCell="F22" sqref="F22"/>
    </sheetView>
  </sheetViews>
  <sheetFormatPr defaultRowHeight="14.6" x14ac:dyDescent="0.85"/>
  <cols>
    <col min="3" max="3" width="20.23046875" customWidth="1"/>
    <col min="5" max="5" width="12.4609375" customWidth="1"/>
    <col min="6" max="6" width="16.03515625" customWidth="1"/>
    <col min="7" max="7" width="14.07421875" customWidth="1"/>
    <col min="9" max="9" width="10.57421875" bestFit="1" customWidth="1"/>
    <col min="10" max="10" width="14.84375" customWidth="1"/>
    <col min="11" max="11" width="16.265625" customWidth="1"/>
  </cols>
  <sheetData>
    <row r="1" spans="1:11" ht="14.65" x14ac:dyDescent="0.85">
      <c r="A1" t="s">
        <v>55</v>
      </c>
      <c r="B1" s="33" t="s">
        <v>56</v>
      </c>
    </row>
    <row r="2" spans="1:11" x14ac:dyDescent="0.85">
      <c r="A2" t="s">
        <v>57</v>
      </c>
      <c r="B2" t="s">
        <v>58</v>
      </c>
    </row>
    <row r="3" spans="1:11" ht="58.3" x14ac:dyDescent="0.85">
      <c r="A3" s="34" t="s">
        <v>59</v>
      </c>
      <c r="B3" s="35" t="s">
        <v>60</v>
      </c>
      <c r="C3" s="35" t="s">
        <v>61</v>
      </c>
      <c r="D3" s="35" t="s">
        <v>62</v>
      </c>
      <c r="E3" s="35" t="s">
        <v>63</v>
      </c>
      <c r="F3" s="35" t="s">
        <v>64</v>
      </c>
      <c r="G3" s="35" t="s">
        <v>65</v>
      </c>
      <c r="H3" s="35" t="s">
        <v>66</v>
      </c>
      <c r="I3" s="35" t="s">
        <v>67</v>
      </c>
      <c r="J3" s="35" t="s">
        <v>68</v>
      </c>
      <c r="K3" s="35" t="s">
        <v>69</v>
      </c>
    </row>
    <row r="4" spans="1:11" x14ac:dyDescent="0.85">
      <c r="A4" s="36">
        <v>1</v>
      </c>
      <c r="B4" s="37" t="s">
        <v>70</v>
      </c>
      <c r="C4" s="37" t="s">
        <v>71</v>
      </c>
      <c r="D4" s="37">
        <v>650</v>
      </c>
      <c r="E4" s="37" t="s">
        <v>72</v>
      </c>
      <c r="F4" s="37" t="s">
        <v>73</v>
      </c>
      <c r="G4" s="37">
        <v>61.6</v>
      </c>
      <c r="H4" s="37" t="s">
        <v>74</v>
      </c>
      <c r="I4" s="37">
        <v>0.06</v>
      </c>
      <c r="J4" s="37" t="s">
        <v>75</v>
      </c>
      <c r="K4" s="37">
        <v>206</v>
      </c>
    </row>
    <row r="5" spans="1:11" ht="14.65" x14ac:dyDescent="0.85">
      <c r="A5" s="38">
        <v>2</v>
      </c>
      <c r="B5" s="39" t="s">
        <v>76</v>
      </c>
      <c r="C5" s="39" t="s">
        <v>77</v>
      </c>
      <c r="D5" s="39">
        <v>650</v>
      </c>
      <c r="E5" s="39" t="s">
        <v>78</v>
      </c>
      <c r="F5" s="39" t="s">
        <v>79</v>
      </c>
      <c r="G5" s="39">
        <v>86.7</v>
      </c>
      <c r="H5" s="39" t="s">
        <v>80</v>
      </c>
      <c r="I5" s="39">
        <v>0.06</v>
      </c>
      <c r="J5" s="39" t="s">
        <v>75</v>
      </c>
      <c r="K5" s="39">
        <v>10.3</v>
      </c>
    </row>
    <row r="6" spans="1:11" x14ac:dyDescent="0.85">
      <c r="A6" s="36">
        <v>3</v>
      </c>
      <c r="B6" s="37" t="s">
        <v>81</v>
      </c>
      <c r="C6" s="37" t="s">
        <v>82</v>
      </c>
      <c r="D6" s="37">
        <v>211</v>
      </c>
      <c r="E6" s="37" t="s">
        <v>83</v>
      </c>
      <c r="F6" s="37" t="s">
        <v>84</v>
      </c>
      <c r="G6" s="37">
        <v>9.56</v>
      </c>
      <c r="H6" s="37" t="s">
        <v>85</v>
      </c>
      <c r="I6" s="37">
        <v>7.4999999999999997E-3</v>
      </c>
      <c r="J6" s="37" t="s">
        <v>86</v>
      </c>
      <c r="K6" s="37">
        <v>117</v>
      </c>
    </row>
    <row r="7" spans="1:11" x14ac:dyDescent="0.85">
      <c r="A7" s="38">
        <v>4</v>
      </c>
      <c r="B7" s="39" t="s">
        <v>87</v>
      </c>
      <c r="C7" s="39" t="s">
        <v>88</v>
      </c>
      <c r="D7" s="39">
        <v>419</v>
      </c>
      <c r="E7" s="39" t="s">
        <v>89</v>
      </c>
      <c r="F7" s="39" t="s">
        <v>90</v>
      </c>
      <c r="G7" s="39">
        <v>6.87</v>
      </c>
      <c r="H7" s="39" t="s">
        <v>91</v>
      </c>
      <c r="I7" s="39">
        <v>7.4999999999999997E-3</v>
      </c>
      <c r="J7" s="39" t="s">
        <v>86</v>
      </c>
      <c r="K7" s="39">
        <v>117</v>
      </c>
    </row>
    <row r="8" spans="1:11" ht="14.65" x14ac:dyDescent="0.85">
      <c r="A8" s="36">
        <v>5</v>
      </c>
      <c r="B8" s="37" t="s">
        <v>92</v>
      </c>
      <c r="C8" s="37" t="s">
        <v>93</v>
      </c>
      <c r="D8" s="37">
        <v>1227</v>
      </c>
      <c r="E8" s="37" t="s">
        <v>94</v>
      </c>
      <c r="F8" s="37" t="s">
        <v>95</v>
      </c>
      <c r="G8" s="37">
        <v>12.12</v>
      </c>
      <c r="H8" s="37" t="s">
        <v>96</v>
      </c>
      <c r="I8" s="37">
        <v>7.4999999999999997E-3</v>
      </c>
      <c r="J8" s="37" t="s">
        <v>86</v>
      </c>
      <c r="K8" s="37">
        <v>117</v>
      </c>
    </row>
    <row r="9" spans="1:11" ht="14.65" x14ac:dyDescent="0.85">
      <c r="A9" s="38">
        <v>6</v>
      </c>
      <c r="B9" s="39" t="s">
        <v>97</v>
      </c>
      <c r="C9" s="39" t="s">
        <v>98</v>
      </c>
      <c r="D9" s="39">
        <v>627</v>
      </c>
      <c r="E9" s="39" t="s">
        <v>99</v>
      </c>
      <c r="F9" s="39" t="s">
        <v>100</v>
      </c>
      <c r="G9" s="39">
        <v>15.51</v>
      </c>
      <c r="H9" s="39" t="s">
        <v>101</v>
      </c>
      <c r="I9" s="39">
        <v>7.4999999999999997E-3</v>
      </c>
      <c r="J9" s="39" t="s">
        <v>86</v>
      </c>
      <c r="K9" s="39">
        <v>117</v>
      </c>
    </row>
    <row r="10" spans="1:11" ht="14.65" x14ac:dyDescent="0.85">
      <c r="A10" s="36">
        <v>7</v>
      </c>
      <c r="B10" s="37" t="s">
        <v>102</v>
      </c>
      <c r="C10" s="37" t="s">
        <v>98</v>
      </c>
      <c r="D10" s="37">
        <v>543</v>
      </c>
      <c r="E10" s="37" t="s">
        <v>103</v>
      </c>
      <c r="F10" s="37" t="s">
        <v>104</v>
      </c>
      <c r="G10" s="37">
        <v>24.78</v>
      </c>
      <c r="H10" s="37" t="s">
        <v>105</v>
      </c>
      <c r="I10" s="37">
        <v>7.4999999999999997E-3</v>
      </c>
      <c r="J10" s="37" t="s">
        <v>86</v>
      </c>
      <c r="K10" s="37">
        <v>6</v>
      </c>
    </row>
    <row r="11" spans="1:11" ht="14.65" x14ac:dyDescent="0.85">
      <c r="A11" s="38">
        <v>8</v>
      </c>
      <c r="B11" s="39" t="s">
        <v>106</v>
      </c>
      <c r="C11" s="39" t="s">
        <v>107</v>
      </c>
      <c r="D11" s="39">
        <v>50</v>
      </c>
      <c r="E11" s="39" t="s">
        <v>108</v>
      </c>
      <c r="F11" s="39" t="s">
        <v>109</v>
      </c>
      <c r="G11" s="39">
        <v>261.18</v>
      </c>
      <c r="H11" s="39" t="s">
        <v>110</v>
      </c>
      <c r="I11" s="39">
        <v>0.08</v>
      </c>
      <c r="J11" s="39" t="s">
        <v>111</v>
      </c>
      <c r="K11" s="39">
        <v>10.3</v>
      </c>
    </row>
    <row r="12" spans="1:11" ht="14.65" x14ac:dyDescent="0.85">
      <c r="A12" s="36">
        <v>9</v>
      </c>
      <c r="B12" s="37" t="s">
        <v>112</v>
      </c>
      <c r="C12" s="37" t="s">
        <v>113</v>
      </c>
      <c r="D12" s="37">
        <v>2156</v>
      </c>
      <c r="E12" s="37" t="s">
        <v>114</v>
      </c>
      <c r="F12" s="37" t="s">
        <v>115</v>
      </c>
      <c r="G12" s="37">
        <v>156.19999999999999</v>
      </c>
      <c r="H12" s="37" t="s">
        <v>116</v>
      </c>
      <c r="I12" s="37">
        <v>0</v>
      </c>
      <c r="J12" s="37" t="s">
        <v>117</v>
      </c>
      <c r="K12" s="37">
        <v>0</v>
      </c>
    </row>
    <row r="13" spans="1:11" ht="14.65" x14ac:dyDescent="0.85">
      <c r="A13" s="38">
        <v>10</v>
      </c>
      <c r="B13" s="39" t="s">
        <v>118</v>
      </c>
      <c r="C13" s="39" t="s">
        <v>119</v>
      </c>
      <c r="D13" s="39">
        <v>480</v>
      </c>
      <c r="E13" s="39" t="s">
        <v>120</v>
      </c>
      <c r="F13" s="39" t="s">
        <v>121</v>
      </c>
      <c r="G13" s="39">
        <v>121.99</v>
      </c>
      <c r="H13" s="39" t="s">
        <v>122</v>
      </c>
      <c r="I13" s="39">
        <v>0</v>
      </c>
      <c r="J13" s="39" t="s">
        <v>117</v>
      </c>
      <c r="K13" s="39">
        <v>0</v>
      </c>
    </row>
    <row r="14" spans="1:11" ht="14.65" x14ac:dyDescent="0.85">
      <c r="A14" s="36">
        <v>11</v>
      </c>
      <c r="B14" s="37" t="s">
        <v>43</v>
      </c>
      <c r="C14" s="37" t="s">
        <v>123</v>
      </c>
      <c r="D14" s="37">
        <v>50</v>
      </c>
      <c r="E14" s="37" t="s">
        <v>124</v>
      </c>
      <c r="F14" s="37" t="s">
        <v>125</v>
      </c>
      <c r="G14" s="37">
        <v>150.6</v>
      </c>
      <c r="H14" s="37" t="s">
        <v>126</v>
      </c>
      <c r="I14" s="37">
        <v>0</v>
      </c>
      <c r="J14" s="37" t="s">
        <v>117</v>
      </c>
      <c r="K14" s="37">
        <v>0</v>
      </c>
    </row>
    <row r="15" spans="1:11" ht="14.65" x14ac:dyDescent="0.85">
      <c r="A15" s="38">
        <v>12</v>
      </c>
      <c r="B15" s="39" t="s">
        <v>127</v>
      </c>
      <c r="C15" s="39" t="s">
        <v>128</v>
      </c>
      <c r="D15" s="39">
        <v>100</v>
      </c>
      <c r="E15" s="39" t="s">
        <v>124</v>
      </c>
      <c r="F15" s="39" t="s">
        <v>129</v>
      </c>
      <c r="G15" s="39">
        <v>33.54</v>
      </c>
      <c r="H15" s="39" t="s">
        <v>126</v>
      </c>
      <c r="I15" s="39">
        <v>0</v>
      </c>
      <c r="J15" s="39" t="s">
        <v>117</v>
      </c>
      <c r="K15" s="39">
        <v>0</v>
      </c>
    </row>
    <row r="16" spans="1:11" x14ac:dyDescent="0.85">
      <c r="A16" s="36">
        <v>13</v>
      </c>
      <c r="B16" s="37" t="s">
        <v>130</v>
      </c>
      <c r="C16" s="37" t="s">
        <v>131</v>
      </c>
      <c r="D16" s="37">
        <v>200</v>
      </c>
      <c r="E16" s="37" t="s">
        <v>124</v>
      </c>
      <c r="F16" s="37" t="s">
        <v>132</v>
      </c>
      <c r="G16" s="37">
        <v>33.06</v>
      </c>
      <c r="H16" s="37" t="s">
        <v>126</v>
      </c>
      <c r="I16" s="37">
        <v>0</v>
      </c>
      <c r="J16" s="37" t="s">
        <v>117</v>
      </c>
      <c r="K16" s="37">
        <v>0</v>
      </c>
    </row>
    <row r="17" spans="1:11" x14ac:dyDescent="0.85">
      <c r="A17" s="38">
        <v>14</v>
      </c>
      <c r="B17" s="39" t="s">
        <v>133</v>
      </c>
      <c r="C17" s="39" t="s">
        <v>134</v>
      </c>
      <c r="D17" s="39">
        <v>150</v>
      </c>
      <c r="E17" s="39" t="s">
        <v>124</v>
      </c>
      <c r="F17" s="39" t="s">
        <v>135</v>
      </c>
      <c r="G17" s="39">
        <v>38.549999999999997</v>
      </c>
      <c r="H17" s="39" t="s">
        <v>126</v>
      </c>
      <c r="I17" s="39">
        <v>0</v>
      </c>
      <c r="J17" s="39" t="s">
        <v>117</v>
      </c>
      <c r="K17" s="39">
        <v>0</v>
      </c>
    </row>
    <row r="18" spans="1:11" ht="14.65" x14ac:dyDescent="0.85">
      <c r="A18" s="36">
        <v>15</v>
      </c>
      <c r="B18" s="37" t="s">
        <v>136</v>
      </c>
      <c r="C18" s="37" t="s">
        <v>137</v>
      </c>
      <c r="D18" s="37">
        <v>900</v>
      </c>
      <c r="E18" s="37" t="s">
        <v>124</v>
      </c>
      <c r="F18" s="37" t="s">
        <v>138</v>
      </c>
      <c r="G18" s="37">
        <v>154</v>
      </c>
      <c r="H18" s="37" t="s">
        <v>126</v>
      </c>
      <c r="I18" s="37">
        <v>0</v>
      </c>
      <c r="J18" s="37" t="s">
        <v>117</v>
      </c>
      <c r="K18" s="37">
        <v>0</v>
      </c>
    </row>
    <row r="19" spans="1:11" ht="14.65" x14ac:dyDescent="0.85">
      <c r="A19" s="38">
        <v>16</v>
      </c>
      <c r="B19" s="39" t="s">
        <v>139</v>
      </c>
      <c r="C19" s="39" t="s">
        <v>140</v>
      </c>
      <c r="D19" s="39">
        <v>150</v>
      </c>
      <c r="E19" s="39" t="s">
        <v>124</v>
      </c>
      <c r="F19" s="39" t="s">
        <v>141</v>
      </c>
      <c r="G19" s="39">
        <v>20.23</v>
      </c>
      <c r="H19" s="39" t="s">
        <v>126</v>
      </c>
      <c r="I19" s="39">
        <v>0</v>
      </c>
      <c r="J19" s="39" t="s">
        <v>117</v>
      </c>
      <c r="K19" s="39">
        <v>0</v>
      </c>
    </row>
    <row r="20" spans="1:11" ht="14.65" x14ac:dyDescent="0.85">
      <c r="A20" s="36">
        <v>17</v>
      </c>
      <c r="B20" s="37" t="s">
        <v>142</v>
      </c>
      <c r="C20" s="37" t="s">
        <v>143</v>
      </c>
      <c r="D20" s="37">
        <v>150</v>
      </c>
      <c r="E20" s="37" t="s">
        <v>124</v>
      </c>
      <c r="F20" s="37" t="s">
        <v>144</v>
      </c>
      <c r="G20" s="37">
        <v>38.39</v>
      </c>
      <c r="H20" s="37" t="s">
        <v>126</v>
      </c>
      <c r="I20" s="37">
        <v>0</v>
      </c>
      <c r="J20" s="37" t="s">
        <v>117</v>
      </c>
      <c r="K20" s="37">
        <v>0</v>
      </c>
    </row>
    <row r="21" spans="1:11" ht="14.65" x14ac:dyDescent="0.85">
      <c r="A21" s="38">
        <v>18</v>
      </c>
      <c r="B21" s="39" t="s">
        <v>145</v>
      </c>
      <c r="C21" s="39" t="s">
        <v>143</v>
      </c>
      <c r="D21" s="39">
        <v>150</v>
      </c>
      <c r="E21" s="39" t="s">
        <v>124</v>
      </c>
      <c r="F21" s="39" t="s">
        <v>146</v>
      </c>
      <c r="G21" s="39">
        <v>39.24</v>
      </c>
      <c r="H21" s="39" t="s">
        <v>126</v>
      </c>
      <c r="I21" s="39">
        <v>0</v>
      </c>
      <c r="J21" s="39" t="s">
        <v>117</v>
      </c>
      <c r="K21" s="39">
        <v>0</v>
      </c>
    </row>
    <row r="22" spans="1:11" ht="29.15" x14ac:dyDescent="0.85">
      <c r="A22" s="40">
        <v>19</v>
      </c>
      <c r="B22" s="41" t="s">
        <v>147</v>
      </c>
      <c r="C22" s="42" t="s">
        <v>148</v>
      </c>
      <c r="D22" s="41">
        <v>150</v>
      </c>
      <c r="E22" s="41" t="s">
        <v>124</v>
      </c>
      <c r="F22" s="41" t="s">
        <v>149</v>
      </c>
      <c r="G22" s="41">
        <v>40</v>
      </c>
      <c r="H22" s="41" t="s">
        <v>126</v>
      </c>
      <c r="I22" s="41">
        <v>0</v>
      </c>
      <c r="J22" s="41" t="s">
        <v>117</v>
      </c>
      <c r="K22" s="41">
        <v>0</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DFD00-B327-4CBB-BBD0-DAF51F208CC9}">
  <sheetPr codeName="Sheet4"/>
  <dimension ref="A1:J22"/>
  <sheetViews>
    <sheetView workbookViewId="0">
      <pane ySplit="5" topLeftCell="A7" activePane="bottomLeft" state="frozen"/>
      <selection pane="bottomLeft" activeCell="B7" sqref="B7"/>
    </sheetView>
  </sheetViews>
  <sheetFormatPr defaultRowHeight="14.6" x14ac:dyDescent="0.85"/>
  <cols>
    <col min="1" max="1" width="11.4609375" customWidth="1"/>
  </cols>
  <sheetData>
    <row r="1" spans="1:10" ht="14.65" x14ac:dyDescent="0.85">
      <c r="A1" t="s">
        <v>24</v>
      </c>
    </row>
    <row r="3" spans="1:10" ht="16.3" x14ac:dyDescent="0.95">
      <c r="A3" s="20" t="s">
        <v>25</v>
      </c>
      <c r="B3" s="21"/>
      <c r="C3" s="21"/>
      <c r="D3" s="21"/>
      <c r="E3" s="21"/>
      <c r="F3" s="21"/>
      <c r="G3" s="21"/>
      <c r="H3" s="21"/>
      <c r="I3" s="21"/>
      <c r="J3" s="21"/>
    </row>
    <row r="4" spans="1:10" ht="16.3" x14ac:dyDescent="0.95">
      <c r="A4" s="20" t="s">
        <v>26</v>
      </c>
      <c r="B4" s="21"/>
      <c r="C4" s="21"/>
      <c r="D4" s="21"/>
      <c r="E4" s="21"/>
      <c r="F4" s="21"/>
      <c r="G4" s="21"/>
      <c r="H4" s="21"/>
      <c r="I4" s="21"/>
      <c r="J4" s="21"/>
    </row>
    <row r="5" spans="1:10" ht="49.95" thickBot="1" x14ac:dyDescent="1">
      <c r="A5" s="22" t="s">
        <v>27</v>
      </c>
      <c r="B5" s="22" t="s">
        <v>28</v>
      </c>
      <c r="C5" s="22" t="s">
        <v>29</v>
      </c>
      <c r="D5" s="22" t="s">
        <v>30</v>
      </c>
      <c r="E5" s="22" t="s">
        <v>31</v>
      </c>
      <c r="F5" s="22" t="s">
        <v>32</v>
      </c>
      <c r="G5" s="22" t="s">
        <v>33</v>
      </c>
      <c r="H5" s="22" t="s">
        <v>34</v>
      </c>
      <c r="I5" s="22" t="s">
        <v>35</v>
      </c>
      <c r="J5" s="22" t="s">
        <v>36</v>
      </c>
    </row>
    <row r="6" spans="1:10" ht="25.5" thickTop="1" x14ac:dyDescent="0.85">
      <c r="A6" s="23" t="s">
        <v>37</v>
      </c>
      <c r="B6" s="23"/>
      <c r="C6" s="23"/>
      <c r="D6" s="23"/>
      <c r="E6" s="23"/>
      <c r="F6" s="23"/>
      <c r="G6" s="23"/>
      <c r="H6" s="23"/>
      <c r="I6" s="23"/>
      <c r="J6" s="23"/>
    </row>
    <row r="7" spans="1:10" ht="25.15" x14ac:dyDescent="0.85">
      <c r="A7" s="24" t="s">
        <v>38</v>
      </c>
      <c r="B7" s="25">
        <v>0.9</v>
      </c>
      <c r="C7" s="26">
        <v>70.862634409090916</v>
      </c>
      <c r="D7" s="26">
        <v>20.117965000000002</v>
      </c>
      <c r="E7" s="26">
        <v>10.447666545454544</v>
      </c>
      <c r="F7" s="26">
        <v>1.2375285454545455</v>
      </c>
      <c r="G7" s="26">
        <v>102.6657945</v>
      </c>
      <c r="H7" s="26">
        <v>-21.211371</v>
      </c>
      <c r="I7" s="27" t="s">
        <v>39</v>
      </c>
      <c r="J7" s="26">
        <v>81.454423500000004</v>
      </c>
    </row>
    <row r="8" spans="1:10" ht="14.65" x14ac:dyDescent="0.85">
      <c r="A8" s="24" t="s">
        <v>40</v>
      </c>
      <c r="B8" s="25">
        <v>0.83</v>
      </c>
      <c r="C8" s="26">
        <v>48.414013439999998</v>
      </c>
      <c r="D8" s="26">
        <v>21.691703320000002</v>
      </c>
      <c r="E8" s="26">
        <v>30.557841520000007</v>
      </c>
      <c r="F8" s="26">
        <v>1.3934275999999999</v>
      </c>
      <c r="G8" s="26">
        <v>102.05698588000001</v>
      </c>
      <c r="H8" s="26">
        <v>-21.211371</v>
      </c>
      <c r="I8" s="27" t="s">
        <v>39</v>
      </c>
      <c r="J8" s="26">
        <v>80.845614880000014</v>
      </c>
    </row>
    <row r="9" spans="1:10" ht="25.15" x14ac:dyDescent="0.85">
      <c r="A9" s="24" t="s">
        <v>41</v>
      </c>
      <c r="B9" s="25">
        <v>0.4</v>
      </c>
      <c r="C9" s="26">
        <v>23.676387559999995</v>
      </c>
      <c r="D9" s="26">
        <v>5.7914565599999994</v>
      </c>
      <c r="E9" s="26">
        <v>32.188287519999996</v>
      </c>
      <c r="F9" s="26">
        <v>2.8913620799999995</v>
      </c>
      <c r="G9" s="26">
        <v>64.547493719999991</v>
      </c>
      <c r="H9" s="27" t="s">
        <v>39</v>
      </c>
      <c r="I9" s="27" t="s">
        <v>39</v>
      </c>
      <c r="J9" s="26">
        <v>64.547493719999991</v>
      </c>
    </row>
    <row r="10" spans="1:10" ht="25.15" x14ac:dyDescent="0.85">
      <c r="A10" s="24" t="s">
        <v>42</v>
      </c>
      <c r="B10" s="25">
        <v>0.87</v>
      </c>
      <c r="C10" s="26">
        <v>25.883290280000001</v>
      </c>
      <c r="D10" s="26">
        <v>4.3496713600000012</v>
      </c>
      <c r="E10" s="26">
        <v>33.9919206</v>
      </c>
      <c r="F10" s="26">
        <v>1.3293620400000001</v>
      </c>
      <c r="G10" s="26">
        <v>65.554244280000006</v>
      </c>
      <c r="H10" s="27" t="s">
        <v>39</v>
      </c>
      <c r="I10" s="26">
        <v>-16.777357240000001</v>
      </c>
      <c r="J10" s="26">
        <v>48.776887040000005</v>
      </c>
    </row>
    <row r="11" spans="1:10" ht="14.65" x14ac:dyDescent="0.85">
      <c r="A11" s="24" t="s">
        <v>43</v>
      </c>
      <c r="B11" s="25">
        <v>0.9</v>
      </c>
      <c r="C11" s="26">
        <v>24.723095000000001</v>
      </c>
      <c r="D11" s="26">
        <v>18.635398599999998</v>
      </c>
      <c r="E11" s="26">
        <v>0</v>
      </c>
      <c r="F11" s="26">
        <v>1.6335380000000002</v>
      </c>
      <c r="G11" s="26">
        <v>44.992031600000004</v>
      </c>
      <c r="H11" s="26">
        <v>-7.4169287999999991</v>
      </c>
      <c r="I11" s="27" t="s">
        <v>39</v>
      </c>
      <c r="J11" s="26">
        <v>37.575102800000003</v>
      </c>
    </row>
    <row r="12" spans="1:10" ht="14.65" x14ac:dyDescent="0.85">
      <c r="A12" s="28" t="s">
        <v>44</v>
      </c>
      <c r="B12" s="29"/>
      <c r="C12" s="30"/>
      <c r="D12" s="30"/>
      <c r="E12" s="30"/>
      <c r="F12" s="30"/>
      <c r="G12" s="30"/>
      <c r="H12" s="30"/>
      <c r="I12" s="30"/>
      <c r="J12" s="30"/>
    </row>
    <row r="13" spans="1:10" ht="14.65" x14ac:dyDescent="0.85">
      <c r="A13" s="24" t="s">
        <v>45</v>
      </c>
      <c r="B13" s="25">
        <v>0.44</v>
      </c>
      <c r="C13" s="26">
        <v>59.008446800000009</v>
      </c>
      <c r="D13" s="26">
        <v>43.881591599999993</v>
      </c>
      <c r="E13" s="26">
        <v>0</v>
      </c>
      <c r="F13" s="26">
        <v>2.9763444000000003</v>
      </c>
      <c r="G13" s="26">
        <v>105.86638280000001</v>
      </c>
      <c r="H13" s="26">
        <v>-17.702534933333332</v>
      </c>
      <c r="I13" s="27" t="s">
        <v>39</v>
      </c>
      <c r="J13" s="26">
        <v>88.163847866666686</v>
      </c>
    </row>
    <row r="14" spans="1:10" ht="14.65" x14ac:dyDescent="0.85">
      <c r="A14" s="24" t="s">
        <v>46</v>
      </c>
      <c r="B14" s="25">
        <v>0.56000000000000005</v>
      </c>
      <c r="C14" s="26">
        <v>52.555220695652174</v>
      </c>
      <c r="D14" s="26">
        <v>15.07502147826087</v>
      </c>
      <c r="E14" s="26">
        <v>4.3882412608695658</v>
      </c>
      <c r="F14" s="26">
        <v>2.2867240434782601</v>
      </c>
      <c r="G14" s="26">
        <v>74.305207478260868</v>
      </c>
      <c r="H14" s="26">
        <v>-15.766566521739131</v>
      </c>
      <c r="I14" s="27" t="s">
        <v>39</v>
      </c>
      <c r="J14" s="26">
        <v>58.538640956521739</v>
      </c>
    </row>
    <row r="15" spans="1:10" ht="14.65" x14ac:dyDescent="0.85">
      <c r="A15" s="24" t="s">
        <v>47</v>
      </c>
      <c r="B15" s="25">
        <v>0.28000000000000003</v>
      </c>
      <c r="C15" s="26">
        <v>47.67530232</v>
      </c>
      <c r="D15" s="26">
        <v>20.699166800000004</v>
      </c>
      <c r="E15" s="26">
        <v>0</v>
      </c>
      <c r="F15" s="26">
        <v>4.35094052</v>
      </c>
      <c r="G15" s="26">
        <v>72.725409639999995</v>
      </c>
      <c r="H15" s="26">
        <v>-19.283063720000001</v>
      </c>
      <c r="I15" s="27" t="s">
        <v>39</v>
      </c>
      <c r="J15" s="26">
        <v>53.442345919999994</v>
      </c>
    </row>
    <row r="16" spans="1:10" ht="25.15" x14ac:dyDescent="0.85">
      <c r="A16" s="24" t="s">
        <v>48</v>
      </c>
      <c r="B16" s="25">
        <v>0.28999999999999998</v>
      </c>
      <c r="C16" s="26">
        <v>33.6122254</v>
      </c>
      <c r="D16" s="26">
        <v>13.231970799999997</v>
      </c>
      <c r="E16" s="26">
        <v>0</v>
      </c>
      <c r="F16" s="26">
        <v>4.3012479600000004</v>
      </c>
      <c r="G16" s="26">
        <v>51.145444159999997</v>
      </c>
      <c r="H16" s="26">
        <v>-19.283063720000001</v>
      </c>
      <c r="I16" s="27" t="s">
        <v>39</v>
      </c>
      <c r="J16" s="26">
        <v>31.862380439999995</v>
      </c>
    </row>
    <row r="17" spans="1:10" ht="14.65" x14ac:dyDescent="0.85">
      <c r="A17" s="24" t="s">
        <v>49</v>
      </c>
      <c r="B17" s="25">
        <v>0.4</v>
      </c>
      <c r="C17" s="26">
        <v>35.465501608695661</v>
      </c>
      <c r="D17" s="26">
        <v>12.139050130434784</v>
      </c>
      <c r="E17" s="26">
        <v>0</v>
      </c>
      <c r="F17" s="26">
        <v>3.1856453478260875</v>
      </c>
      <c r="G17" s="26">
        <v>50.790197086956532</v>
      </c>
      <c r="H17" s="26">
        <v>-21.211371</v>
      </c>
      <c r="I17" s="27" t="s">
        <v>39</v>
      </c>
      <c r="J17" s="26">
        <v>29.578826086956532</v>
      </c>
    </row>
    <row r="18" spans="1:10" ht="37.15" x14ac:dyDescent="0.85">
      <c r="A18" s="23" t="s">
        <v>50</v>
      </c>
      <c r="B18" s="29"/>
      <c r="C18" s="30"/>
      <c r="D18" s="30"/>
      <c r="E18" s="30"/>
      <c r="F18" s="30"/>
      <c r="G18" s="30"/>
      <c r="H18" s="30"/>
      <c r="I18" s="30"/>
      <c r="J18" s="30"/>
    </row>
    <row r="19" spans="1:10" ht="25.15" x14ac:dyDescent="0.85">
      <c r="A19" s="24" t="s">
        <v>51</v>
      </c>
      <c r="B19" s="25">
        <v>0.1</v>
      </c>
      <c r="C19" s="26">
        <v>61.489692000000012</v>
      </c>
      <c r="D19" s="26">
        <v>17.064133840000004</v>
      </c>
      <c r="E19" s="26">
        <v>43.76309792</v>
      </c>
      <c r="F19" s="26">
        <v>11.565448040000001</v>
      </c>
      <c r="G19" s="26">
        <v>133.88237180000002</v>
      </c>
      <c r="H19" s="27" t="s">
        <v>39</v>
      </c>
      <c r="I19" s="27" t="s">
        <v>39</v>
      </c>
      <c r="J19" s="26">
        <v>133.88237180000002</v>
      </c>
    </row>
    <row r="20" spans="1:10" ht="15.4" thickBot="1" x14ac:dyDescent="1">
      <c r="A20" s="24" t="s">
        <v>52</v>
      </c>
      <c r="B20" s="25">
        <v>0.1</v>
      </c>
      <c r="C20" s="26">
        <v>90.837335920000001</v>
      </c>
      <c r="D20" s="26">
        <v>46.367488000000002</v>
      </c>
      <c r="E20" s="26">
        <v>4.6793194800000002</v>
      </c>
      <c r="F20" s="26">
        <v>11.565448040000001</v>
      </c>
      <c r="G20" s="26">
        <v>153.44959144000001</v>
      </c>
      <c r="H20" s="26">
        <v>-27.251201559999998</v>
      </c>
      <c r="I20" s="27" t="s">
        <v>39</v>
      </c>
      <c r="J20" s="26">
        <v>126.19838988000001</v>
      </c>
    </row>
    <row r="21" spans="1:10" ht="14.65" x14ac:dyDescent="0.85">
      <c r="A21" s="31" t="s">
        <v>53</v>
      </c>
      <c r="B21" s="32"/>
      <c r="C21" s="32"/>
      <c r="D21" s="32"/>
      <c r="E21" s="32"/>
      <c r="F21" s="32"/>
      <c r="G21" s="32"/>
      <c r="H21" s="32"/>
      <c r="I21" s="32"/>
      <c r="J21" s="32"/>
    </row>
    <row r="22" spans="1:10" x14ac:dyDescent="0.85">
      <c r="A22" s="21" t="s">
        <v>54</v>
      </c>
      <c r="B22" s="21"/>
      <c r="C22" s="21"/>
      <c r="D22" s="21"/>
      <c r="E22" s="21"/>
      <c r="F22" s="21"/>
      <c r="G22" s="21"/>
      <c r="H22" s="21"/>
      <c r="I22" s="21"/>
      <c r="J22" s="2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D558-F7CC-4265-9DA7-E87AA2FA3982}">
  <sheetPr codeName="Sheet5"/>
  <dimension ref="A1:I21"/>
  <sheetViews>
    <sheetView topLeftCell="A3" workbookViewId="0">
      <selection activeCell="B6" sqref="B6"/>
    </sheetView>
  </sheetViews>
  <sheetFormatPr defaultRowHeight="14.6" x14ac:dyDescent="0.85"/>
  <sheetData>
    <row r="1" spans="1:9" ht="14.65" x14ac:dyDescent="0.85">
      <c r="A1" s="33" t="s">
        <v>310</v>
      </c>
      <c r="B1" s="275"/>
      <c r="C1" s="275"/>
      <c r="D1" s="275"/>
      <c r="E1" s="275"/>
      <c r="F1" s="275"/>
      <c r="G1" s="275"/>
      <c r="H1" s="275"/>
      <c r="I1" s="275"/>
    </row>
    <row r="2" spans="1:9" ht="16.3" x14ac:dyDescent="0.95">
      <c r="A2" s="20" t="s">
        <v>25</v>
      </c>
      <c r="B2" s="275"/>
      <c r="C2" s="275"/>
      <c r="D2" s="275"/>
      <c r="E2" s="275"/>
      <c r="F2" s="275"/>
      <c r="G2" s="275"/>
      <c r="H2" s="275"/>
      <c r="I2" s="275"/>
    </row>
    <row r="3" spans="1:9" ht="16.3" x14ac:dyDescent="0.95">
      <c r="A3" s="20" t="s">
        <v>311</v>
      </c>
      <c r="B3" s="275"/>
      <c r="C3" s="275"/>
      <c r="D3" s="275"/>
      <c r="E3" s="275"/>
      <c r="F3" s="275"/>
      <c r="G3" s="275"/>
      <c r="H3" s="275"/>
      <c r="I3" s="275"/>
    </row>
    <row r="4" spans="1:9" ht="49.95" thickBot="1" x14ac:dyDescent="1">
      <c r="A4" s="22" t="s">
        <v>27</v>
      </c>
      <c r="B4" s="22" t="s">
        <v>28</v>
      </c>
      <c r="C4" s="22" t="s">
        <v>29</v>
      </c>
      <c r="D4" s="22" t="s">
        <v>30</v>
      </c>
      <c r="E4" s="22" t="s">
        <v>31</v>
      </c>
      <c r="F4" s="22" t="s">
        <v>32</v>
      </c>
      <c r="G4" s="22" t="s">
        <v>33</v>
      </c>
      <c r="H4" s="22" t="s">
        <v>34</v>
      </c>
      <c r="I4" s="22" t="s">
        <v>36</v>
      </c>
    </row>
    <row r="5" spans="1:9" ht="49.95" thickTop="1" x14ac:dyDescent="0.85">
      <c r="A5" s="276" t="s">
        <v>37</v>
      </c>
      <c r="B5" s="276"/>
      <c r="C5" s="276"/>
      <c r="D5" s="276"/>
      <c r="E5" s="276"/>
      <c r="F5" s="276"/>
      <c r="G5" s="276"/>
      <c r="H5" s="276"/>
      <c r="I5" s="276"/>
    </row>
    <row r="6" spans="1:9" ht="49.3" x14ac:dyDescent="0.85">
      <c r="A6" s="24" t="s">
        <v>312</v>
      </c>
      <c r="B6" s="277">
        <v>0.85</v>
      </c>
      <c r="C6" s="26">
        <v>57.73</v>
      </c>
      <c r="D6" s="26">
        <v>7.1</v>
      </c>
      <c r="E6" s="26">
        <v>23.28</v>
      </c>
      <c r="F6" s="26">
        <v>1.22</v>
      </c>
      <c r="G6" s="26">
        <v>89.33</v>
      </c>
      <c r="H6" s="27" t="s">
        <v>39</v>
      </c>
      <c r="I6" s="26">
        <v>89.33</v>
      </c>
    </row>
    <row r="7" spans="1:9" ht="14.65" x14ac:dyDescent="0.85">
      <c r="A7" s="24" t="s">
        <v>40</v>
      </c>
      <c r="B7" s="277">
        <v>0.83</v>
      </c>
      <c r="C7" s="26">
        <v>44.66</v>
      </c>
      <c r="D7" s="26">
        <v>20.5</v>
      </c>
      <c r="E7" s="26">
        <v>28.7</v>
      </c>
      <c r="F7" s="26">
        <v>1.3</v>
      </c>
      <c r="G7" s="26">
        <v>95.16</v>
      </c>
      <c r="H7" s="26">
        <v>-18</v>
      </c>
      <c r="I7" s="26">
        <v>77.16</v>
      </c>
    </row>
    <row r="8" spans="1:9" ht="25.15" x14ac:dyDescent="0.85">
      <c r="A8" s="24" t="s">
        <v>38</v>
      </c>
      <c r="B8" s="277">
        <v>0.9</v>
      </c>
      <c r="C8" s="26">
        <v>62.17</v>
      </c>
      <c r="D8" s="26">
        <v>17.37</v>
      </c>
      <c r="E8" s="26">
        <v>10.11</v>
      </c>
      <c r="F8" s="26">
        <v>1.1499999999999999</v>
      </c>
      <c r="G8" s="26">
        <v>90.800000000000011</v>
      </c>
      <c r="H8" s="26">
        <v>-19.8</v>
      </c>
      <c r="I8" s="26">
        <v>71.000000000000014</v>
      </c>
    </row>
    <row r="9" spans="1:9" ht="25.15" x14ac:dyDescent="0.85">
      <c r="A9" s="24" t="s">
        <v>41</v>
      </c>
      <c r="B9" s="277">
        <v>0.87</v>
      </c>
      <c r="C9" s="26">
        <v>14.29</v>
      </c>
      <c r="D9" s="26">
        <v>2.79</v>
      </c>
      <c r="E9" s="26">
        <v>24.4</v>
      </c>
      <c r="F9" s="26">
        <v>1.24</v>
      </c>
      <c r="G9" s="26">
        <v>42.72</v>
      </c>
      <c r="H9" s="27" t="s">
        <v>39</v>
      </c>
      <c r="I9" s="26">
        <v>42.72</v>
      </c>
    </row>
    <row r="10" spans="1:9" ht="25.15" x14ac:dyDescent="0.85">
      <c r="A10" s="24" t="s">
        <v>43</v>
      </c>
      <c r="B10" s="277">
        <v>0.9</v>
      </c>
      <c r="C10" s="26">
        <v>24.08</v>
      </c>
      <c r="D10" s="26">
        <v>17.61</v>
      </c>
      <c r="E10" s="26">
        <v>1.31</v>
      </c>
      <c r="F10" s="26">
        <v>1.52</v>
      </c>
      <c r="G10" s="26">
        <v>44.52</v>
      </c>
      <c r="H10" s="26">
        <v>-7.22</v>
      </c>
      <c r="I10" s="26">
        <v>37.300000000000004</v>
      </c>
    </row>
    <row r="11" spans="1:9" ht="14.65" x14ac:dyDescent="0.85">
      <c r="A11" s="278" t="s">
        <v>44</v>
      </c>
      <c r="B11" s="279"/>
      <c r="C11" s="280"/>
      <c r="D11" s="280"/>
      <c r="E11" s="280"/>
      <c r="F11" s="280"/>
      <c r="G11" s="280"/>
      <c r="H11" s="280"/>
      <c r="I11" s="280"/>
    </row>
    <row r="12" spans="1:9" ht="25.15" x14ac:dyDescent="0.85">
      <c r="A12" s="24" t="s">
        <v>45</v>
      </c>
      <c r="B12" s="277">
        <v>0.44</v>
      </c>
      <c r="C12" s="26">
        <v>89.61</v>
      </c>
      <c r="D12" s="26">
        <v>34.86</v>
      </c>
      <c r="E12" s="26">
        <v>0</v>
      </c>
      <c r="F12" s="26">
        <v>2.75</v>
      </c>
      <c r="G12" s="26">
        <v>127.22</v>
      </c>
      <c r="H12" s="26">
        <v>-26.88</v>
      </c>
      <c r="I12" s="26">
        <v>100.34</v>
      </c>
    </row>
    <row r="13" spans="1:9" ht="24.9" x14ac:dyDescent="0.85">
      <c r="A13" s="24" t="s">
        <v>46</v>
      </c>
      <c r="B13" s="277">
        <v>0.56000000000000005</v>
      </c>
      <c r="C13" s="26">
        <v>52.14</v>
      </c>
      <c r="D13" s="26">
        <v>14.34</v>
      </c>
      <c r="E13" s="26">
        <v>4.1500000000000004</v>
      </c>
      <c r="F13" s="26">
        <v>2.13</v>
      </c>
      <c r="G13" s="26">
        <v>72.760000000000005</v>
      </c>
      <c r="H13" s="26">
        <v>-15.64</v>
      </c>
      <c r="I13" s="26">
        <v>57.120000000000005</v>
      </c>
    </row>
    <row r="14" spans="1:9" ht="24.9" x14ac:dyDescent="0.85">
      <c r="A14" s="24" t="s">
        <v>47</v>
      </c>
      <c r="B14" s="277">
        <v>0.28000000000000003</v>
      </c>
      <c r="C14" s="26">
        <v>34.090000000000003</v>
      </c>
      <c r="D14" s="26">
        <v>16.34</v>
      </c>
      <c r="E14" s="26">
        <v>0</v>
      </c>
      <c r="F14" s="26">
        <v>3.84</v>
      </c>
      <c r="G14" s="26">
        <v>54.27000000000001</v>
      </c>
      <c r="H14" s="26">
        <v>-18</v>
      </c>
      <c r="I14" s="26">
        <v>36.27000000000001</v>
      </c>
    </row>
    <row r="15" spans="1:9" ht="24.9" x14ac:dyDescent="0.85">
      <c r="A15" s="24" t="s">
        <v>49</v>
      </c>
      <c r="B15" s="277">
        <v>0.4</v>
      </c>
      <c r="C15" s="26">
        <v>37.46</v>
      </c>
      <c r="D15" s="26">
        <v>10.52</v>
      </c>
      <c r="E15" s="26">
        <v>0</v>
      </c>
      <c r="F15" s="26">
        <v>2.89</v>
      </c>
      <c r="G15" s="26">
        <v>50.870000000000005</v>
      </c>
      <c r="H15" s="26">
        <v>-19.8</v>
      </c>
      <c r="I15" s="26">
        <v>31.070000000000004</v>
      </c>
    </row>
    <row r="16" spans="1:9" ht="24.9" x14ac:dyDescent="0.85">
      <c r="A16" s="24" t="s">
        <v>48</v>
      </c>
      <c r="B16" s="277">
        <v>0.28999999999999998</v>
      </c>
      <c r="C16" s="26">
        <v>27.53</v>
      </c>
      <c r="D16" s="26">
        <v>9.93</v>
      </c>
      <c r="E16" s="26">
        <v>0</v>
      </c>
      <c r="F16" s="26">
        <v>3.76</v>
      </c>
      <c r="G16" s="26">
        <v>41.22</v>
      </c>
      <c r="H16" s="26">
        <v>-18</v>
      </c>
      <c r="I16" s="26">
        <v>23.22</v>
      </c>
    </row>
    <row r="17" spans="1:9" ht="49.3" x14ac:dyDescent="0.85">
      <c r="A17" s="276" t="s">
        <v>50</v>
      </c>
      <c r="B17" s="279"/>
      <c r="C17" s="280"/>
      <c r="D17" s="280"/>
      <c r="E17" s="280"/>
      <c r="F17" s="280"/>
      <c r="G17" s="280"/>
      <c r="H17" s="280"/>
      <c r="I17" s="280"/>
    </row>
    <row r="18" spans="1:9" ht="24.9" x14ac:dyDescent="0.85">
      <c r="A18" s="24" t="s">
        <v>51</v>
      </c>
      <c r="B18" s="277">
        <v>0.1</v>
      </c>
      <c r="C18" s="26">
        <v>60.75</v>
      </c>
      <c r="D18" s="26">
        <v>17.600000000000001</v>
      </c>
      <c r="E18" s="26">
        <v>39.700000000000003</v>
      </c>
      <c r="F18" s="26">
        <v>10.77</v>
      </c>
      <c r="G18" s="26">
        <v>128.82</v>
      </c>
      <c r="H18" s="27" t="s">
        <v>39</v>
      </c>
      <c r="I18" s="26">
        <v>128.82</v>
      </c>
    </row>
    <row r="19" spans="1:9" ht="25.5" thickBot="1" x14ac:dyDescent="1">
      <c r="A19" s="24" t="s">
        <v>52</v>
      </c>
      <c r="B19" s="277">
        <v>0.1</v>
      </c>
      <c r="C19" s="26">
        <v>57.85</v>
      </c>
      <c r="D19" s="26">
        <v>52.24</v>
      </c>
      <c r="E19" s="26">
        <v>13.77</v>
      </c>
      <c r="F19" s="26">
        <v>10.77</v>
      </c>
      <c r="G19" s="26">
        <v>134.63</v>
      </c>
      <c r="H19" s="26">
        <v>-17.36</v>
      </c>
      <c r="I19" s="26">
        <v>117.27</v>
      </c>
    </row>
    <row r="20" spans="1:9" x14ac:dyDescent="0.85">
      <c r="A20" s="31" t="s">
        <v>313</v>
      </c>
      <c r="B20" s="281"/>
      <c r="C20" s="281"/>
      <c r="D20" s="281"/>
      <c r="E20" s="281"/>
      <c r="F20" s="281"/>
      <c r="G20" s="281"/>
      <c r="H20" s="281"/>
      <c r="I20" s="281"/>
    </row>
    <row r="21" spans="1:9" x14ac:dyDescent="0.85">
      <c r="A21" s="275" t="s">
        <v>54</v>
      </c>
      <c r="B21" s="275"/>
      <c r="C21" s="275"/>
      <c r="D21" s="275"/>
      <c r="E21" s="275"/>
      <c r="F21" s="275"/>
      <c r="G21" s="275"/>
      <c r="H21" s="275"/>
      <c r="I21" s="275"/>
    </row>
  </sheetData>
  <hyperlinks>
    <hyperlink ref="A1" r:id="rId1" xr:uid="{163BE9C3-E923-4235-A7DE-9EE3EE115E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E2B07-A285-42F2-9F67-A3C3757389B6}">
  <sheetPr codeName="Sheet6"/>
  <dimension ref="B1:AF63"/>
  <sheetViews>
    <sheetView workbookViewId="0">
      <pane ySplit="5" topLeftCell="A29" activePane="bottomLeft" state="frozen"/>
      <selection activeCell="B6" sqref="B6"/>
      <selection pane="bottomLeft" activeCell="C41" sqref="C41"/>
    </sheetView>
  </sheetViews>
  <sheetFormatPr defaultRowHeight="14.6" x14ac:dyDescent="0.85"/>
  <cols>
    <col min="1" max="1" width="4.23046875" customWidth="1"/>
    <col min="2" max="2" width="4.69140625" customWidth="1"/>
    <col min="3" max="3" width="46.765625" customWidth="1"/>
    <col min="4" max="23" width="0.765625" customWidth="1"/>
    <col min="31" max="31" width="31.07421875" customWidth="1"/>
    <col min="32" max="32" width="28.19140625" customWidth="1"/>
  </cols>
  <sheetData>
    <row r="1" spans="2:32" ht="14.65" x14ac:dyDescent="0.85">
      <c r="B1" t="s">
        <v>55</v>
      </c>
      <c r="C1" s="33" t="s">
        <v>150</v>
      </c>
    </row>
    <row r="2" spans="2:32" ht="15.4" thickBot="1" x14ac:dyDescent="1">
      <c r="C2" t="s">
        <v>151</v>
      </c>
    </row>
    <row r="3" spans="2:32" ht="20.8" thickBot="1" x14ac:dyDescent="1">
      <c r="B3" s="286" t="s">
        <v>152</v>
      </c>
      <c r="C3" s="287"/>
      <c r="D3" s="287"/>
      <c r="E3" s="287"/>
      <c r="F3" s="287"/>
      <c r="G3" s="287"/>
      <c r="H3" s="287"/>
      <c r="I3" s="287"/>
      <c r="J3" s="287"/>
      <c r="K3" s="287"/>
      <c r="L3" s="287"/>
      <c r="M3" s="287"/>
      <c r="N3" s="287"/>
      <c r="O3" s="287"/>
      <c r="P3" s="287"/>
      <c r="Q3" s="287"/>
      <c r="R3" s="287"/>
      <c r="S3" s="287"/>
      <c r="T3" s="287"/>
      <c r="U3" s="287"/>
      <c r="V3" s="287"/>
      <c r="W3" s="287"/>
      <c r="X3" s="287"/>
      <c r="Y3" s="287"/>
      <c r="Z3" s="287"/>
      <c r="AA3" s="287"/>
      <c r="AB3" s="287"/>
      <c r="AC3" s="287"/>
      <c r="AD3" s="287"/>
      <c r="AE3" s="287"/>
      <c r="AF3" s="288"/>
    </row>
    <row r="4" spans="2:32" x14ac:dyDescent="0.85">
      <c r="B4" s="289"/>
      <c r="C4" s="291" t="s">
        <v>153</v>
      </c>
      <c r="D4" s="293" t="s">
        <v>154</v>
      </c>
      <c r="E4" s="294"/>
      <c r="F4" s="294"/>
      <c r="G4" s="294"/>
      <c r="H4" s="294"/>
      <c r="I4" s="293" t="s">
        <v>155</v>
      </c>
      <c r="J4" s="294"/>
      <c r="K4" s="294"/>
      <c r="L4" s="294"/>
      <c r="M4" s="294"/>
      <c r="N4" s="293" t="s">
        <v>156</v>
      </c>
      <c r="O4" s="294"/>
      <c r="P4" s="294"/>
      <c r="Q4" s="294"/>
      <c r="R4" s="294"/>
      <c r="S4" s="293" t="s">
        <v>157</v>
      </c>
      <c r="T4" s="294"/>
      <c r="U4" s="294"/>
      <c r="V4" s="294"/>
      <c r="W4" s="294"/>
      <c r="X4" s="295" t="s">
        <v>158</v>
      </c>
      <c r="Y4" s="296"/>
      <c r="Z4" s="296"/>
      <c r="AA4" s="296"/>
      <c r="AB4" s="296"/>
      <c r="AC4" s="296"/>
      <c r="AD4" s="297"/>
      <c r="AE4" s="298" t="s">
        <v>159</v>
      </c>
      <c r="AF4" s="300" t="s">
        <v>160</v>
      </c>
    </row>
    <row r="5" spans="2:32" ht="15.25" thickBot="1" x14ac:dyDescent="1">
      <c r="B5" s="290"/>
      <c r="C5" s="292"/>
      <c r="D5" s="43" t="s">
        <v>161</v>
      </c>
      <c r="E5" s="44" t="s">
        <v>162</v>
      </c>
      <c r="F5" s="44" t="s">
        <v>163</v>
      </c>
      <c r="G5" s="44" t="s">
        <v>164</v>
      </c>
      <c r="H5" s="44" t="s">
        <v>165</v>
      </c>
      <c r="I5" s="43" t="s">
        <v>161</v>
      </c>
      <c r="J5" s="44" t="s">
        <v>162</v>
      </c>
      <c r="K5" s="44" t="s">
        <v>163</v>
      </c>
      <c r="L5" s="44" t="s">
        <v>164</v>
      </c>
      <c r="M5" s="44" t="s">
        <v>165</v>
      </c>
      <c r="N5" s="43" t="s">
        <v>161</v>
      </c>
      <c r="O5" s="44" t="s">
        <v>162</v>
      </c>
      <c r="P5" s="44" t="s">
        <v>163</v>
      </c>
      <c r="Q5" s="44" t="s">
        <v>164</v>
      </c>
      <c r="R5" s="44" t="s">
        <v>165</v>
      </c>
      <c r="S5" s="43" t="s">
        <v>161</v>
      </c>
      <c r="T5" s="44" t="s">
        <v>162</v>
      </c>
      <c r="U5" s="44" t="s">
        <v>163</v>
      </c>
      <c r="V5" s="44" t="s">
        <v>164</v>
      </c>
      <c r="W5" s="44" t="s">
        <v>165</v>
      </c>
      <c r="X5" s="43" t="s">
        <v>161</v>
      </c>
      <c r="Y5" s="44" t="s">
        <v>162</v>
      </c>
      <c r="Z5" s="44" t="s">
        <v>163</v>
      </c>
      <c r="AA5" s="44" t="s">
        <v>164</v>
      </c>
      <c r="AB5" s="44" t="s">
        <v>165</v>
      </c>
      <c r="AC5" s="45" t="s">
        <v>166</v>
      </c>
      <c r="AD5" s="45" t="s">
        <v>167</v>
      </c>
      <c r="AE5" s="299"/>
      <c r="AF5" s="301"/>
    </row>
    <row r="6" spans="2:32" ht="55.5" x14ac:dyDescent="0.85">
      <c r="B6" s="46" t="s">
        <v>168</v>
      </c>
      <c r="C6" s="47" t="s">
        <v>169</v>
      </c>
      <c r="D6" s="48" t="s">
        <v>170</v>
      </c>
      <c r="E6" s="49" t="s">
        <v>170</v>
      </c>
      <c r="F6" s="49" t="s">
        <v>170</v>
      </c>
      <c r="G6" s="49" t="s">
        <v>170</v>
      </c>
      <c r="H6" s="49" t="s">
        <v>170</v>
      </c>
      <c r="I6" s="48" t="s">
        <v>170</v>
      </c>
      <c r="J6" s="49" t="s">
        <v>170</v>
      </c>
      <c r="K6" s="49" t="s">
        <v>170</v>
      </c>
      <c r="L6" s="49" t="s">
        <v>170</v>
      </c>
      <c r="M6" s="49" t="s">
        <v>170</v>
      </c>
      <c r="N6" s="48" t="s">
        <v>170</v>
      </c>
      <c r="O6" s="49" t="s">
        <v>170</v>
      </c>
      <c r="P6" s="49" t="s">
        <v>170</v>
      </c>
      <c r="Q6" s="49" t="s">
        <v>170</v>
      </c>
      <c r="R6" s="49" t="s">
        <v>170</v>
      </c>
      <c r="S6" s="48" t="s">
        <v>170</v>
      </c>
      <c r="T6" s="49" t="s">
        <v>170</v>
      </c>
      <c r="U6" s="49" t="s">
        <v>170</v>
      </c>
      <c r="V6" s="49" t="s">
        <v>170</v>
      </c>
      <c r="W6" s="49" t="s">
        <v>170</v>
      </c>
      <c r="X6" s="50">
        <v>-1000</v>
      </c>
      <c r="Y6" s="51">
        <v>28</v>
      </c>
      <c r="Z6" s="51">
        <v>52</v>
      </c>
      <c r="AA6" s="51">
        <v>110</v>
      </c>
      <c r="AB6" s="51">
        <v>1300</v>
      </c>
      <c r="AC6" s="52" t="s">
        <v>171</v>
      </c>
      <c r="AD6" s="53" t="s">
        <v>172</v>
      </c>
      <c r="AE6" s="54" t="s">
        <v>173</v>
      </c>
      <c r="AF6" s="55"/>
    </row>
    <row r="7" spans="2:32" x14ac:dyDescent="0.85">
      <c r="B7" s="56"/>
      <c r="C7" s="57" t="s">
        <v>174</v>
      </c>
      <c r="D7" s="58" t="s">
        <v>170</v>
      </c>
      <c r="E7" s="59" t="s">
        <v>170</v>
      </c>
      <c r="F7" s="59" t="s">
        <v>170</v>
      </c>
      <c r="G7" s="59" t="s">
        <v>170</v>
      </c>
      <c r="H7" s="59" t="s">
        <v>170</v>
      </c>
      <c r="I7" s="58" t="s">
        <v>170</v>
      </c>
      <c r="J7" s="59" t="s">
        <v>170</v>
      </c>
      <c r="K7" s="59" t="s">
        <v>170</v>
      </c>
      <c r="L7" s="59" t="s">
        <v>170</v>
      </c>
      <c r="M7" s="59" t="s">
        <v>170</v>
      </c>
      <c r="N7" s="58" t="s">
        <v>170</v>
      </c>
      <c r="O7" s="59" t="s">
        <v>170</v>
      </c>
      <c r="P7" s="59" t="s">
        <v>170</v>
      </c>
      <c r="Q7" s="59" t="s">
        <v>170</v>
      </c>
      <c r="R7" s="59" t="s">
        <v>170</v>
      </c>
      <c r="S7" s="58" t="s">
        <v>170</v>
      </c>
      <c r="T7" s="59" t="s">
        <v>170</v>
      </c>
      <c r="U7" s="59" t="s">
        <v>170</v>
      </c>
      <c r="V7" s="59" t="s">
        <v>170</v>
      </c>
      <c r="W7" s="59" t="s">
        <v>170</v>
      </c>
      <c r="X7" s="60">
        <v>-1000</v>
      </c>
      <c r="Y7" s="61">
        <v>53</v>
      </c>
      <c r="Z7" s="61">
        <v>170</v>
      </c>
      <c r="AA7" s="61">
        <v>880</v>
      </c>
      <c r="AB7" s="61">
        <v>1300</v>
      </c>
      <c r="AC7" s="62"/>
      <c r="AD7" s="63"/>
      <c r="AE7" s="64" t="s">
        <v>173</v>
      </c>
      <c r="AF7" s="55"/>
    </row>
    <row r="8" spans="2:32" x14ac:dyDescent="0.85">
      <c r="B8" s="56"/>
      <c r="C8" s="57" t="s">
        <v>175</v>
      </c>
      <c r="D8" s="58" t="s">
        <v>170</v>
      </c>
      <c r="E8" s="59" t="s">
        <v>170</v>
      </c>
      <c r="F8" s="59" t="s">
        <v>170</v>
      </c>
      <c r="G8" s="59" t="s">
        <v>170</v>
      </c>
      <c r="H8" s="59" t="s">
        <v>170</v>
      </c>
      <c r="I8" s="58" t="s">
        <v>170</v>
      </c>
      <c r="J8" s="59" t="s">
        <v>170</v>
      </c>
      <c r="K8" s="59" t="s">
        <v>170</v>
      </c>
      <c r="L8" s="59" t="s">
        <v>170</v>
      </c>
      <c r="M8" s="59" t="s">
        <v>170</v>
      </c>
      <c r="N8" s="58" t="s">
        <v>170</v>
      </c>
      <c r="O8" s="59" t="s">
        <v>170</v>
      </c>
      <c r="P8" s="59" t="s">
        <v>170</v>
      </c>
      <c r="Q8" s="59" t="s">
        <v>170</v>
      </c>
      <c r="R8" s="59" t="s">
        <v>170</v>
      </c>
      <c r="S8" s="58" t="s">
        <v>170</v>
      </c>
      <c r="T8" s="59" t="s">
        <v>170</v>
      </c>
      <c r="U8" s="59" t="s">
        <v>170</v>
      </c>
      <c r="V8" s="59" t="s">
        <v>170</v>
      </c>
      <c r="W8" s="59" t="s">
        <v>170</v>
      </c>
      <c r="X8" s="60">
        <v>3</v>
      </c>
      <c r="Y8" s="61">
        <v>25</v>
      </c>
      <c r="Z8" s="61">
        <v>42</v>
      </c>
      <c r="AA8" s="61">
        <v>64</v>
      </c>
      <c r="AB8" s="61">
        <v>320</v>
      </c>
      <c r="AC8" s="62"/>
      <c r="AD8" s="63"/>
      <c r="AE8" s="64" t="s">
        <v>173</v>
      </c>
      <c r="AF8" s="55"/>
    </row>
    <row r="9" spans="2:32" x14ac:dyDescent="0.85">
      <c r="B9" s="56"/>
      <c r="C9" s="57" t="s">
        <v>176</v>
      </c>
      <c r="D9" s="58" t="s">
        <v>170</v>
      </c>
      <c r="E9" s="59" t="s">
        <v>170</v>
      </c>
      <c r="F9" s="59" t="s">
        <v>170</v>
      </c>
      <c r="G9" s="59" t="s">
        <v>170</v>
      </c>
      <c r="H9" s="59" t="s">
        <v>170</v>
      </c>
      <c r="I9" s="58" t="s">
        <v>170</v>
      </c>
      <c r="J9" s="59" t="s">
        <v>170</v>
      </c>
      <c r="K9" s="59" t="s">
        <v>170</v>
      </c>
      <c r="L9" s="59" t="s">
        <v>170</v>
      </c>
      <c r="M9" s="59" t="s">
        <v>170</v>
      </c>
      <c r="N9" s="58" t="s">
        <v>170</v>
      </c>
      <c r="O9" s="59" t="s">
        <v>170</v>
      </c>
      <c r="P9" s="59" t="s">
        <v>170</v>
      </c>
      <c r="Q9" s="59" t="s">
        <v>170</v>
      </c>
      <c r="R9" s="59" t="s">
        <v>170</v>
      </c>
      <c r="S9" s="58" t="s">
        <v>170</v>
      </c>
      <c r="T9" s="59" t="s">
        <v>170</v>
      </c>
      <c r="U9" s="59" t="s">
        <v>170</v>
      </c>
      <c r="V9" s="59" t="s">
        <v>170</v>
      </c>
      <c r="W9" s="59" t="s">
        <v>170</v>
      </c>
      <c r="X9" s="60">
        <v>1.2</v>
      </c>
      <c r="Y9" s="61">
        <v>16</v>
      </c>
      <c r="Z9" s="61">
        <v>40</v>
      </c>
      <c r="AA9" s="61">
        <v>63</v>
      </c>
      <c r="AB9" s="61">
        <v>250</v>
      </c>
      <c r="AC9" s="62"/>
      <c r="AD9" s="63"/>
      <c r="AE9" s="64" t="s">
        <v>173</v>
      </c>
      <c r="AF9" s="55"/>
    </row>
    <row r="10" spans="2:32" x14ac:dyDescent="0.85">
      <c r="B10" s="56"/>
      <c r="C10" s="57" t="s">
        <v>177</v>
      </c>
      <c r="D10" s="58" t="s">
        <v>170</v>
      </c>
      <c r="E10" s="59" t="s">
        <v>170</v>
      </c>
      <c r="F10" s="59" t="s">
        <v>170</v>
      </c>
      <c r="G10" s="59" t="s">
        <v>170</v>
      </c>
      <c r="H10" s="59" t="s">
        <v>170</v>
      </c>
      <c r="I10" s="58" t="s">
        <v>170</v>
      </c>
      <c r="J10" s="59" t="s">
        <v>170</v>
      </c>
      <c r="K10" s="59" t="s">
        <v>170</v>
      </c>
      <c r="L10" s="59" t="s">
        <v>170</v>
      </c>
      <c r="M10" s="59" t="s">
        <v>170</v>
      </c>
      <c r="N10" s="58" t="s">
        <v>170</v>
      </c>
      <c r="O10" s="59" t="s">
        <v>170</v>
      </c>
      <c r="P10" s="59" t="s">
        <v>170</v>
      </c>
      <c r="Q10" s="59" t="s">
        <v>170</v>
      </c>
      <c r="R10" s="59" t="s">
        <v>170</v>
      </c>
      <c r="S10" s="58" t="s">
        <v>170</v>
      </c>
      <c r="T10" s="59" t="s">
        <v>170</v>
      </c>
      <c r="U10" s="59" t="s">
        <v>170</v>
      </c>
      <c r="V10" s="59" t="s">
        <v>170</v>
      </c>
      <c r="W10" s="59" t="s">
        <v>170</v>
      </c>
      <c r="X10" s="60">
        <v>14</v>
      </c>
      <c r="Y10" s="61">
        <v>85</v>
      </c>
      <c r="Z10" s="61">
        <v>95</v>
      </c>
      <c r="AA10" s="61">
        <v>100</v>
      </c>
      <c r="AB10" s="61">
        <v>110</v>
      </c>
      <c r="AC10" s="62"/>
      <c r="AD10" s="63"/>
      <c r="AE10" s="64" t="s">
        <v>173</v>
      </c>
      <c r="AF10" s="55"/>
    </row>
    <row r="11" spans="2:32" ht="28.3" x14ac:dyDescent="0.85">
      <c r="B11" s="56"/>
      <c r="C11" s="65" t="s">
        <v>178</v>
      </c>
      <c r="D11" s="66" t="s">
        <v>170</v>
      </c>
      <c r="E11" s="67" t="s">
        <v>170</v>
      </c>
      <c r="F11" s="68" t="s">
        <v>170</v>
      </c>
      <c r="G11" s="67" t="s">
        <v>170</v>
      </c>
      <c r="H11" s="67" t="s">
        <v>170</v>
      </c>
      <c r="I11" s="69" t="s">
        <v>179</v>
      </c>
      <c r="J11" s="70" t="s">
        <v>179</v>
      </c>
      <c r="K11" s="70" t="s">
        <v>179</v>
      </c>
      <c r="L11" s="70" t="s">
        <v>179</v>
      </c>
      <c r="M11" s="70" t="s">
        <v>179</v>
      </c>
      <c r="N11" s="66" t="s">
        <v>170</v>
      </c>
      <c r="O11" s="67" t="s">
        <v>170</v>
      </c>
      <c r="P11" s="68" t="s">
        <v>170</v>
      </c>
      <c r="Q11" s="67" t="s">
        <v>170</v>
      </c>
      <c r="R11" s="67" t="s">
        <v>170</v>
      </c>
      <c r="S11" s="66" t="s">
        <v>170</v>
      </c>
      <c r="T11" s="67" t="s">
        <v>170</v>
      </c>
      <c r="U11" s="68" t="s">
        <v>170</v>
      </c>
      <c r="V11" s="67" t="s">
        <v>170</v>
      </c>
      <c r="W11" s="67" t="s">
        <v>170</v>
      </c>
      <c r="X11" s="71">
        <v>10.9</v>
      </c>
      <c r="Y11" s="72">
        <v>30</v>
      </c>
      <c r="Z11" s="73">
        <v>43.4</v>
      </c>
      <c r="AA11" s="72">
        <v>62</v>
      </c>
      <c r="AB11" s="72">
        <v>226</v>
      </c>
      <c r="AC11" s="74">
        <v>17</v>
      </c>
      <c r="AD11" s="75">
        <v>46</v>
      </c>
      <c r="AE11" s="76" t="s">
        <v>180</v>
      </c>
      <c r="AF11" s="55" t="s">
        <v>181</v>
      </c>
    </row>
    <row r="12" spans="2:32" x14ac:dyDescent="0.85">
      <c r="B12" s="56"/>
      <c r="C12" s="77" t="s">
        <v>182</v>
      </c>
      <c r="D12" s="66" t="s">
        <v>170</v>
      </c>
      <c r="E12" s="67" t="s">
        <v>170</v>
      </c>
      <c r="F12" s="68" t="s">
        <v>170</v>
      </c>
      <c r="G12" s="67" t="s">
        <v>170</v>
      </c>
      <c r="H12" s="67" t="s">
        <v>170</v>
      </c>
      <c r="I12" s="69" t="s">
        <v>179</v>
      </c>
      <c r="J12" s="70" t="s">
        <v>179</v>
      </c>
      <c r="K12" s="70" t="s">
        <v>179</v>
      </c>
      <c r="L12" s="70" t="s">
        <v>179</v>
      </c>
      <c r="M12" s="70" t="s">
        <v>179</v>
      </c>
      <c r="N12" s="66" t="s">
        <v>170</v>
      </c>
      <c r="O12" s="67" t="s">
        <v>170</v>
      </c>
      <c r="P12" s="68" t="s">
        <v>170</v>
      </c>
      <c r="Q12" s="67" t="s">
        <v>170</v>
      </c>
      <c r="R12" s="67" t="s">
        <v>170</v>
      </c>
      <c r="S12" s="66" t="s">
        <v>170</v>
      </c>
      <c r="T12" s="67" t="s">
        <v>170</v>
      </c>
      <c r="U12" s="68" t="s">
        <v>170</v>
      </c>
      <c r="V12" s="67" t="s">
        <v>170</v>
      </c>
      <c r="W12" s="67" t="s">
        <v>170</v>
      </c>
      <c r="X12" s="78">
        <v>11</v>
      </c>
      <c r="Y12" s="72">
        <v>26</v>
      </c>
      <c r="Z12" s="72">
        <v>36</v>
      </c>
      <c r="AA12" s="72">
        <v>48</v>
      </c>
      <c r="AB12" s="72">
        <v>226</v>
      </c>
      <c r="AC12" s="79">
        <v>5</v>
      </c>
      <c r="AD12" s="80">
        <v>5</v>
      </c>
      <c r="AE12" s="81" t="s">
        <v>183</v>
      </c>
      <c r="AF12" s="55" t="s">
        <v>181</v>
      </c>
    </row>
    <row r="13" spans="2:32" x14ac:dyDescent="0.85">
      <c r="B13" s="56"/>
      <c r="C13" s="82" t="s">
        <v>184</v>
      </c>
      <c r="D13" s="58" t="s">
        <v>170</v>
      </c>
      <c r="E13" s="59" t="s">
        <v>170</v>
      </c>
      <c r="F13" s="83" t="s">
        <v>170</v>
      </c>
      <c r="G13" s="59" t="s">
        <v>170</v>
      </c>
      <c r="H13" s="59" t="s">
        <v>170</v>
      </c>
      <c r="I13" s="84" t="s">
        <v>179</v>
      </c>
      <c r="J13" s="85" t="s">
        <v>179</v>
      </c>
      <c r="K13" s="85" t="s">
        <v>179</v>
      </c>
      <c r="L13" s="85" t="s">
        <v>179</v>
      </c>
      <c r="M13" s="85" t="s">
        <v>179</v>
      </c>
      <c r="N13" s="58" t="s">
        <v>170</v>
      </c>
      <c r="O13" s="59" t="s">
        <v>170</v>
      </c>
      <c r="P13" s="83" t="s">
        <v>170</v>
      </c>
      <c r="Q13" s="59" t="s">
        <v>170</v>
      </c>
      <c r="R13" s="59" t="s">
        <v>170</v>
      </c>
      <c r="S13" s="58" t="s">
        <v>170</v>
      </c>
      <c r="T13" s="59" t="s">
        <v>170</v>
      </c>
      <c r="U13" s="83" t="s">
        <v>170</v>
      </c>
      <c r="V13" s="59" t="s">
        <v>170</v>
      </c>
      <c r="W13" s="59" t="s">
        <v>170</v>
      </c>
      <c r="X13" s="86">
        <v>11</v>
      </c>
      <c r="Y13" s="87">
        <v>29</v>
      </c>
      <c r="Z13" s="87">
        <v>37</v>
      </c>
      <c r="AA13" s="87">
        <v>55</v>
      </c>
      <c r="AB13" s="87">
        <v>226</v>
      </c>
      <c r="AC13" s="88"/>
      <c r="AD13" s="89"/>
      <c r="AE13" s="64" t="s">
        <v>183</v>
      </c>
      <c r="AF13" s="55" t="s">
        <v>181</v>
      </c>
    </row>
    <row r="14" spans="2:32" x14ac:dyDescent="0.85">
      <c r="B14" s="56"/>
      <c r="C14" s="82" t="s">
        <v>185</v>
      </c>
      <c r="D14" s="58" t="s">
        <v>170</v>
      </c>
      <c r="E14" s="59" t="s">
        <v>170</v>
      </c>
      <c r="F14" s="83" t="s">
        <v>170</v>
      </c>
      <c r="G14" s="59" t="s">
        <v>170</v>
      </c>
      <c r="H14" s="59" t="s">
        <v>170</v>
      </c>
      <c r="I14" s="84" t="s">
        <v>179</v>
      </c>
      <c r="J14" s="85" t="s">
        <v>179</v>
      </c>
      <c r="K14" s="85" t="s">
        <v>179</v>
      </c>
      <c r="L14" s="85" t="s">
        <v>179</v>
      </c>
      <c r="M14" s="85" t="s">
        <v>179</v>
      </c>
      <c r="N14" s="58" t="s">
        <v>170</v>
      </c>
      <c r="O14" s="59" t="s">
        <v>170</v>
      </c>
      <c r="P14" s="83" t="s">
        <v>170</v>
      </c>
      <c r="Q14" s="59" t="s">
        <v>170</v>
      </c>
      <c r="R14" s="59" t="s">
        <v>170</v>
      </c>
      <c r="S14" s="58" t="s">
        <v>170</v>
      </c>
      <c r="T14" s="59" t="s">
        <v>170</v>
      </c>
      <c r="U14" s="83" t="s">
        <v>170</v>
      </c>
      <c r="V14" s="59" t="s">
        <v>170</v>
      </c>
      <c r="W14" s="59" t="s">
        <v>170</v>
      </c>
      <c r="X14" s="86">
        <v>16</v>
      </c>
      <c r="Y14" s="87">
        <v>21</v>
      </c>
      <c r="Z14" s="87">
        <v>25</v>
      </c>
      <c r="AA14" s="87">
        <v>46</v>
      </c>
      <c r="AB14" s="90">
        <v>66.5</v>
      </c>
      <c r="AC14" s="91"/>
      <c r="AD14" s="92"/>
      <c r="AE14" s="64" t="s">
        <v>183</v>
      </c>
      <c r="AF14" s="55" t="s">
        <v>181</v>
      </c>
    </row>
    <row r="15" spans="2:32" x14ac:dyDescent="0.85">
      <c r="B15" s="56"/>
      <c r="C15" s="82" t="s">
        <v>186</v>
      </c>
      <c r="D15" s="58" t="s">
        <v>170</v>
      </c>
      <c r="E15" s="59" t="s">
        <v>170</v>
      </c>
      <c r="F15" s="83" t="s">
        <v>170</v>
      </c>
      <c r="G15" s="59" t="s">
        <v>170</v>
      </c>
      <c r="H15" s="59" t="s">
        <v>170</v>
      </c>
      <c r="I15" s="84" t="s">
        <v>179</v>
      </c>
      <c r="J15" s="85" t="s">
        <v>179</v>
      </c>
      <c r="K15" s="85" t="s">
        <v>179</v>
      </c>
      <c r="L15" s="85" t="s">
        <v>179</v>
      </c>
      <c r="M15" s="85" t="s">
        <v>179</v>
      </c>
      <c r="N15" s="58" t="s">
        <v>170</v>
      </c>
      <c r="O15" s="59" t="s">
        <v>170</v>
      </c>
      <c r="P15" s="83" t="s">
        <v>170</v>
      </c>
      <c r="Q15" s="59" t="s">
        <v>170</v>
      </c>
      <c r="R15" s="59" t="s">
        <v>170</v>
      </c>
      <c r="S15" s="58" t="s">
        <v>170</v>
      </c>
      <c r="T15" s="59" t="s">
        <v>170</v>
      </c>
      <c r="U15" s="83" t="s">
        <v>170</v>
      </c>
      <c r="V15" s="59" t="s">
        <v>170</v>
      </c>
      <c r="W15" s="59" t="s">
        <v>170</v>
      </c>
      <c r="X15" s="86">
        <v>21</v>
      </c>
      <c r="Y15" s="87">
        <v>34</v>
      </c>
      <c r="Z15" s="87">
        <v>41</v>
      </c>
      <c r="AA15" s="87">
        <v>55</v>
      </c>
      <c r="AB15" s="87">
        <v>95</v>
      </c>
      <c r="AC15" s="88"/>
      <c r="AD15" s="89"/>
      <c r="AE15" s="64" t="s">
        <v>183</v>
      </c>
      <c r="AF15" s="55" t="s">
        <v>181</v>
      </c>
    </row>
    <row r="16" spans="2:32" x14ac:dyDescent="0.85">
      <c r="B16" s="56"/>
      <c r="C16" s="77" t="s">
        <v>187</v>
      </c>
      <c r="D16" s="66" t="s">
        <v>170</v>
      </c>
      <c r="E16" s="67" t="s">
        <v>170</v>
      </c>
      <c r="F16" s="68" t="s">
        <v>170</v>
      </c>
      <c r="G16" s="67" t="s">
        <v>170</v>
      </c>
      <c r="H16" s="67" t="s">
        <v>170</v>
      </c>
      <c r="I16" s="69" t="s">
        <v>179</v>
      </c>
      <c r="J16" s="70" t="s">
        <v>179</v>
      </c>
      <c r="K16" s="70" t="s">
        <v>179</v>
      </c>
      <c r="L16" s="70" t="s">
        <v>179</v>
      </c>
      <c r="M16" s="70" t="s">
        <v>179</v>
      </c>
      <c r="N16" s="66" t="s">
        <v>170</v>
      </c>
      <c r="O16" s="67" t="s">
        <v>170</v>
      </c>
      <c r="P16" s="68" t="s">
        <v>170</v>
      </c>
      <c r="Q16" s="67" t="s">
        <v>170</v>
      </c>
      <c r="R16" s="67" t="s">
        <v>170</v>
      </c>
      <c r="S16" s="66" t="s">
        <v>170</v>
      </c>
      <c r="T16" s="67" t="s">
        <v>170</v>
      </c>
      <c r="U16" s="68" t="s">
        <v>170</v>
      </c>
      <c r="V16" s="67" t="s">
        <v>170</v>
      </c>
      <c r="W16" s="67" t="s">
        <v>170</v>
      </c>
      <c r="X16" s="78">
        <v>20</v>
      </c>
      <c r="Y16" s="72">
        <v>44</v>
      </c>
      <c r="Z16" s="72">
        <v>57</v>
      </c>
      <c r="AA16" s="72">
        <v>73</v>
      </c>
      <c r="AB16" s="72">
        <v>217</v>
      </c>
      <c r="AC16" s="79">
        <v>13</v>
      </c>
      <c r="AD16" s="80">
        <v>41</v>
      </c>
      <c r="AE16" s="81" t="s">
        <v>188</v>
      </c>
      <c r="AF16" s="55" t="s">
        <v>181</v>
      </c>
    </row>
    <row r="17" spans="2:32" x14ac:dyDescent="0.85">
      <c r="B17" s="56"/>
      <c r="C17" s="82" t="s">
        <v>189</v>
      </c>
      <c r="D17" s="58" t="s">
        <v>170</v>
      </c>
      <c r="E17" s="59" t="s">
        <v>170</v>
      </c>
      <c r="F17" s="83" t="s">
        <v>170</v>
      </c>
      <c r="G17" s="59" t="s">
        <v>170</v>
      </c>
      <c r="H17" s="59" t="s">
        <v>170</v>
      </c>
      <c r="I17" s="84" t="s">
        <v>179</v>
      </c>
      <c r="J17" s="85" t="s">
        <v>179</v>
      </c>
      <c r="K17" s="85" t="s">
        <v>179</v>
      </c>
      <c r="L17" s="85" t="s">
        <v>179</v>
      </c>
      <c r="M17" s="85" t="s">
        <v>179</v>
      </c>
      <c r="N17" s="58" t="s">
        <v>170</v>
      </c>
      <c r="O17" s="59" t="s">
        <v>170</v>
      </c>
      <c r="P17" s="83" t="s">
        <v>170</v>
      </c>
      <c r="Q17" s="59" t="s">
        <v>170</v>
      </c>
      <c r="R17" s="59" t="s">
        <v>170</v>
      </c>
      <c r="S17" s="58" t="s">
        <v>170</v>
      </c>
      <c r="T17" s="59" t="s">
        <v>170</v>
      </c>
      <c r="U17" s="83" t="s">
        <v>170</v>
      </c>
      <c r="V17" s="59" t="s">
        <v>170</v>
      </c>
      <c r="W17" s="59" t="s">
        <v>170</v>
      </c>
      <c r="X17" s="60">
        <v>30</v>
      </c>
      <c r="Y17" s="61">
        <v>39</v>
      </c>
      <c r="Z17" s="61">
        <v>64</v>
      </c>
      <c r="AA17" s="61">
        <v>69</v>
      </c>
      <c r="AB17" s="61">
        <v>100</v>
      </c>
      <c r="AC17" s="62"/>
      <c r="AD17" s="63"/>
      <c r="AE17" s="93" t="s">
        <v>188</v>
      </c>
      <c r="AF17" s="55" t="s">
        <v>181</v>
      </c>
    </row>
    <row r="18" spans="2:32" x14ac:dyDescent="0.85">
      <c r="B18" s="56"/>
      <c r="C18" s="82" t="s">
        <v>190</v>
      </c>
      <c r="D18" s="58" t="s">
        <v>170</v>
      </c>
      <c r="E18" s="59" t="s">
        <v>170</v>
      </c>
      <c r="F18" s="83" t="s">
        <v>170</v>
      </c>
      <c r="G18" s="59" t="s">
        <v>170</v>
      </c>
      <c r="H18" s="59" t="s">
        <v>170</v>
      </c>
      <c r="I18" s="84" t="s">
        <v>179</v>
      </c>
      <c r="J18" s="85" t="s">
        <v>179</v>
      </c>
      <c r="K18" s="85" t="s">
        <v>179</v>
      </c>
      <c r="L18" s="85" t="s">
        <v>179</v>
      </c>
      <c r="M18" s="85" t="s">
        <v>179</v>
      </c>
      <c r="N18" s="58" t="s">
        <v>170</v>
      </c>
      <c r="O18" s="59" t="s">
        <v>170</v>
      </c>
      <c r="P18" s="83" t="s">
        <v>170</v>
      </c>
      <c r="Q18" s="59" t="s">
        <v>170</v>
      </c>
      <c r="R18" s="59" t="s">
        <v>170</v>
      </c>
      <c r="S18" s="58" t="s">
        <v>170</v>
      </c>
      <c r="T18" s="59" t="s">
        <v>170</v>
      </c>
      <c r="U18" s="83" t="s">
        <v>170</v>
      </c>
      <c r="V18" s="59" t="s">
        <v>170</v>
      </c>
      <c r="W18" s="59" t="s">
        <v>170</v>
      </c>
      <c r="X18" s="60">
        <v>20</v>
      </c>
      <c r="Y18" s="61">
        <v>45</v>
      </c>
      <c r="Z18" s="61">
        <v>56</v>
      </c>
      <c r="AA18" s="61">
        <v>84</v>
      </c>
      <c r="AB18" s="61">
        <v>217</v>
      </c>
      <c r="AC18" s="62"/>
      <c r="AD18" s="63"/>
      <c r="AE18" s="93" t="s">
        <v>188</v>
      </c>
      <c r="AF18" s="55" t="s">
        <v>181</v>
      </c>
    </row>
    <row r="19" spans="2:32" x14ac:dyDescent="0.85">
      <c r="B19" s="56"/>
      <c r="C19" s="82" t="s">
        <v>191</v>
      </c>
      <c r="D19" s="58" t="s">
        <v>170</v>
      </c>
      <c r="E19" s="59" t="s">
        <v>170</v>
      </c>
      <c r="F19" s="83" t="s">
        <v>170</v>
      </c>
      <c r="G19" s="59" t="s">
        <v>170</v>
      </c>
      <c r="H19" s="59" t="s">
        <v>170</v>
      </c>
      <c r="I19" s="84" t="s">
        <v>179</v>
      </c>
      <c r="J19" s="85" t="s">
        <v>179</v>
      </c>
      <c r="K19" s="85" t="s">
        <v>179</v>
      </c>
      <c r="L19" s="85" t="s">
        <v>179</v>
      </c>
      <c r="M19" s="85" t="s">
        <v>179</v>
      </c>
      <c r="N19" s="58" t="s">
        <v>170</v>
      </c>
      <c r="O19" s="59" t="s">
        <v>170</v>
      </c>
      <c r="P19" s="83" t="s">
        <v>170</v>
      </c>
      <c r="Q19" s="59" t="s">
        <v>170</v>
      </c>
      <c r="R19" s="59" t="s">
        <v>170</v>
      </c>
      <c r="S19" s="58" t="s">
        <v>170</v>
      </c>
      <c r="T19" s="59" t="s">
        <v>170</v>
      </c>
      <c r="U19" s="83" t="s">
        <v>170</v>
      </c>
      <c r="V19" s="59" t="s">
        <v>170</v>
      </c>
      <c r="W19" s="59" t="s">
        <v>170</v>
      </c>
      <c r="X19" s="60">
        <v>20</v>
      </c>
      <c r="Y19" s="61">
        <v>40</v>
      </c>
      <c r="Z19" s="61">
        <v>68</v>
      </c>
      <c r="AA19" s="61">
        <v>102</v>
      </c>
      <c r="AB19" s="61">
        <v>217</v>
      </c>
      <c r="AC19" s="62"/>
      <c r="AD19" s="63"/>
      <c r="AE19" s="93" t="s">
        <v>188</v>
      </c>
      <c r="AF19" s="55" t="s">
        <v>181</v>
      </c>
    </row>
    <row r="20" spans="2:32" x14ac:dyDescent="0.85">
      <c r="B20" s="56"/>
      <c r="C20" s="82" t="s">
        <v>192</v>
      </c>
      <c r="D20" s="58" t="s">
        <v>170</v>
      </c>
      <c r="E20" s="59" t="s">
        <v>170</v>
      </c>
      <c r="F20" s="83" t="s">
        <v>170</v>
      </c>
      <c r="G20" s="59" t="s">
        <v>170</v>
      </c>
      <c r="H20" s="59" t="s">
        <v>170</v>
      </c>
      <c r="I20" s="84" t="s">
        <v>179</v>
      </c>
      <c r="J20" s="85" t="s">
        <v>179</v>
      </c>
      <c r="K20" s="85" t="s">
        <v>179</v>
      </c>
      <c r="L20" s="85" t="s">
        <v>179</v>
      </c>
      <c r="M20" s="85" t="s">
        <v>179</v>
      </c>
      <c r="N20" s="58" t="s">
        <v>170</v>
      </c>
      <c r="O20" s="59" t="s">
        <v>170</v>
      </c>
      <c r="P20" s="83" t="s">
        <v>170</v>
      </c>
      <c r="Q20" s="59" t="s">
        <v>170</v>
      </c>
      <c r="R20" s="59" t="s">
        <v>170</v>
      </c>
      <c r="S20" s="58" t="s">
        <v>170</v>
      </c>
      <c r="T20" s="59" t="s">
        <v>170</v>
      </c>
      <c r="U20" s="83" t="s">
        <v>170</v>
      </c>
      <c r="V20" s="59" t="s">
        <v>170</v>
      </c>
      <c r="W20" s="59" t="s">
        <v>170</v>
      </c>
      <c r="X20" s="60">
        <v>20</v>
      </c>
      <c r="Y20" s="61">
        <v>44</v>
      </c>
      <c r="Z20" s="61">
        <v>56</v>
      </c>
      <c r="AA20" s="61">
        <v>69</v>
      </c>
      <c r="AB20" s="61">
        <v>102</v>
      </c>
      <c r="AC20" s="62"/>
      <c r="AD20" s="63"/>
      <c r="AE20" s="93" t="s">
        <v>188</v>
      </c>
      <c r="AF20" s="55" t="s">
        <v>181</v>
      </c>
    </row>
    <row r="21" spans="2:32" x14ac:dyDescent="0.85">
      <c r="B21" s="56"/>
      <c r="C21" s="65" t="s">
        <v>193</v>
      </c>
      <c r="D21" s="94">
        <v>9.5625</v>
      </c>
      <c r="E21" s="95">
        <v>13.730128205128205</v>
      </c>
      <c r="F21" s="96">
        <v>19.650589351036444</v>
      </c>
      <c r="G21" s="95">
        <v>32.028989361702131</v>
      </c>
      <c r="H21" s="95">
        <v>55.6</v>
      </c>
      <c r="I21" s="69" t="s">
        <v>179</v>
      </c>
      <c r="J21" s="70" t="s">
        <v>179</v>
      </c>
      <c r="K21" s="70" t="s">
        <v>179</v>
      </c>
      <c r="L21" s="70" t="s">
        <v>179</v>
      </c>
      <c r="M21" s="70" t="s">
        <v>179</v>
      </c>
      <c r="N21" s="97">
        <v>0.95565995525726954</v>
      </c>
      <c r="O21" s="98">
        <v>2.1145833333333321</v>
      </c>
      <c r="P21" s="96">
        <v>10</v>
      </c>
      <c r="Q21" s="95">
        <v>10.727659026525881</v>
      </c>
      <c r="R21" s="95">
        <v>52.099999999999994</v>
      </c>
      <c r="S21" s="99">
        <v>4.3100000000000001E-4</v>
      </c>
      <c r="T21" s="100">
        <v>0.34920634920634952</v>
      </c>
      <c r="U21" s="101">
        <v>0.52659574468084769</v>
      </c>
      <c r="V21" s="98">
        <v>1.92</v>
      </c>
      <c r="W21" s="98">
        <v>2.2200000000000002</v>
      </c>
      <c r="X21" s="78">
        <v>11</v>
      </c>
      <c r="Y21" s="72">
        <v>20</v>
      </c>
      <c r="Z21" s="72">
        <v>28</v>
      </c>
      <c r="AA21" s="72">
        <v>44</v>
      </c>
      <c r="AB21" s="72">
        <v>241</v>
      </c>
      <c r="AC21" s="79">
        <v>10</v>
      </c>
      <c r="AD21" s="80">
        <v>36</v>
      </c>
      <c r="AE21" s="81" t="s">
        <v>194</v>
      </c>
      <c r="AF21" s="55"/>
    </row>
    <row r="22" spans="2:32" x14ac:dyDescent="0.85">
      <c r="B22" s="56"/>
      <c r="C22" s="82" t="s">
        <v>195</v>
      </c>
      <c r="D22" s="102">
        <v>9.5625</v>
      </c>
      <c r="E22" s="103">
        <v>12.718255033557048</v>
      </c>
      <c r="F22" s="104">
        <v>16.080208333333331</v>
      </c>
      <c r="G22" s="103">
        <v>21.286088342440799</v>
      </c>
      <c r="H22" s="103">
        <v>30.015957446808514</v>
      </c>
      <c r="I22" s="84" t="s">
        <v>179</v>
      </c>
      <c r="J22" s="85" t="s">
        <v>179</v>
      </c>
      <c r="K22" s="85" t="s">
        <v>179</v>
      </c>
      <c r="L22" s="85" t="s">
        <v>179</v>
      </c>
      <c r="M22" s="85" t="s">
        <v>179</v>
      </c>
      <c r="N22" s="105">
        <v>0.95565995525726954</v>
      </c>
      <c r="O22" s="106">
        <v>2.0624999999999996</v>
      </c>
      <c r="P22" s="104">
        <v>10</v>
      </c>
      <c r="Q22" s="103">
        <v>10</v>
      </c>
      <c r="R22" s="103">
        <v>49.400000000000006</v>
      </c>
      <c r="S22" s="107">
        <v>1.9800000000000002E-2</v>
      </c>
      <c r="T22" s="106">
        <v>0.37500000000000033</v>
      </c>
      <c r="U22" s="108">
        <v>1.2395833333333324</v>
      </c>
      <c r="V22" s="106">
        <v>1.92</v>
      </c>
      <c r="W22" s="106">
        <v>2.2200000000000002</v>
      </c>
      <c r="X22" s="60">
        <v>12</v>
      </c>
      <c r="Y22" s="61">
        <v>17</v>
      </c>
      <c r="Z22" s="61">
        <v>26</v>
      </c>
      <c r="AA22" s="61">
        <v>100</v>
      </c>
      <c r="AB22" s="61">
        <v>241</v>
      </c>
      <c r="AC22" s="62"/>
      <c r="AD22" s="63"/>
      <c r="AE22" s="64" t="s">
        <v>194</v>
      </c>
      <c r="AF22" s="55"/>
    </row>
    <row r="23" spans="2:32" x14ac:dyDescent="0.85">
      <c r="B23" s="56"/>
      <c r="C23" s="82" t="s">
        <v>196</v>
      </c>
      <c r="D23" s="102">
        <v>10.65079365079365</v>
      </c>
      <c r="E23" s="103">
        <v>18.401230158730158</v>
      </c>
      <c r="F23" s="104">
        <v>33.700000000000003</v>
      </c>
      <c r="G23" s="103">
        <v>39.200000000000003</v>
      </c>
      <c r="H23" s="103">
        <v>55.6</v>
      </c>
      <c r="I23" s="84" t="s">
        <v>179</v>
      </c>
      <c r="J23" s="85" t="s">
        <v>179</v>
      </c>
      <c r="K23" s="85" t="s">
        <v>179</v>
      </c>
      <c r="L23" s="85" t="s">
        <v>179</v>
      </c>
      <c r="M23" s="85" t="s">
        <v>179</v>
      </c>
      <c r="N23" s="102">
        <v>10.455318053051764</v>
      </c>
      <c r="O23" s="103">
        <v>20.866488539788822</v>
      </c>
      <c r="P23" s="104">
        <v>31.277659026525882</v>
      </c>
      <c r="Q23" s="103">
        <v>41.688829513262938</v>
      </c>
      <c r="R23" s="103">
        <v>52.099999999999994</v>
      </c>
      <c r="S23" s="109">
        <v>4.3100000000000001E-4</v>
      </c>
      <c r="T23" s="110">
        <v>0.13472313461538474</v>
      </c>
      <c r="U23" s="111">
        <v>0.26434676434676457</v>
      </c>
      <c r="V23" s="110">
        <v>0.35317460317460347</v>
      </c>
      <c r="W23" s="110">
        <v>0.36507936507936539</v>
      </c>
      <c r="X23" s="60">
        <v>11</v>
      </c>
      <c r="Y23" s="61">
        <v>23</v>
      </c>
      <c r="Z23" s="61">
        <v>38</v>
      </c>
      <c r="AA23" s="61">
        <v>43</v>
      </c>
      <c r="AB23" s="61">
        <v>200</v>
      </c>
      <c r="AC23" s="62"/>
      <c r="AD23" s="63"/>
      <c r="AE23" s="64" t="s">
        <v>194</v>
      </c>
      <c r="AF23" s="55"/>
    </row>
    <row r="24" spans="2:32" x14ac:dyDescent="0.85">
      <c r="B24" s="56"/>
      <c r="C24" s="82" t="s">
        <v>197</v>
      </c>
      <c r="D24" s="102">
        <v>7.3770642201834855</v>
      </c>
      <c r="E24" s="103">
        <v>13.625</v>
      </c>
      <c r="F24" s="104">
        <v>14.95</v>
      </c>
      <c r="G24" s="103">
        <v>19.875</v>
      </c>
      <c r="H24" s="103">
        <v>89.399999999999991</v>
      </c>
      <c r="I24" s="84" t="s">
        <v>179</v>
      </c>
      <c r="J24" s="85" t="s">
        <v>179</v>
      </c>
      <c r="K24" s="85" t="s">
        <v>179</v>
      </c>
      <c r="L24" s="85" t="s">
        <v>179</v>
      </c>
      <c r="M24" s="85" t="s">
        <v>179</v>
      </c>
      <c r="N24" s="58" t="s">
        <v>170</v>
      </c>
      <c r="O24" s="59" t="s">
        <v>170</v>
      </c>
      <c r="P24" s="83" t="s">
        <v>170</v>
      </c>
      <c r="Q24" s="59" t="s">
        <v>170</v>
      </c>
      <c r="R24" s="59" t="s">
        <v>170</v>
      </c>
      <c r="S24" s="58" t="s">
        <v>170</v>
      </c>
      <c r="T24" s="59" t="s">
        <v>170</v>
      </c>
      <c r="U24" s="83" t="s">
        <v>170</v>
      </c>
      <c r="V24" s="59" t="s">
        <v>170</v>
      </c>
      <c r="W24" s="59" t="s">
        <v>170</v>
      </c>
      <c r="X24" s="60">
        <v>7</v>
      </c>
      <c r="Y24" s="61">
        <v>14</v>
      </c>
      <c r="Z24" s="61">
        <v>15</v>
      </c>
      <c r="AA24" s="61">
        <v>20</v>
      </c>
      <c r="AB24" s="61">
        <v>89</v>
      </c>
      <c r="AC24" s="62"/>
      <c r="AD24" s="63"/>
      <c r="AE24" s="64" t="s">
        <v>194</v>
      </c>
      <c r="AF24" s="55"/>
    </row>
    <row r="25" spans="2:32" x14ac:dyDescent="0.85">
      <c r="B25" s="56"/>
      <c r="C25" s="112" t="s">
        <v>198</v>
      </c>
      <c r="D25" s="113">
        <v>3.9</v>
      </c>
      <c r="E25" s="114">
        <v>5.2</v>
      </c>
      <c r="F25" s="115">
        <v>15.3</v>
      </c>
      <c r="G25" s="115">
        <v>27.7</v>
      </c>
      <c r="H25" s="115">
        <v>71.099999999999994</v>
      </c>
      <c r="I25" s="116" t="s">
        <v>179</v>
      </c>
      <c r="J25" s="68" t="s">
        <v>179</v>
      </c>
      <c r="K25" s="68" t="s">
        <v>179</v>
      </c>
      <c r="L25" s="68" t="s">
        <v>179</v>
      </c>
      <c r="M25" s="68" t="s">
        <v>179</v>
      </c>
      <c r="N25" s="113">
        <v>0</v>
      </c>
      <c r="O25" s="114">
        <v>1</v>
      </c>
      <c r="P25" s="114">
        <v>6.9</v>
      </c>
      <c r="Q25" s="114">
        <v>58.1</v>
      </c>
      <c r="R25" s="115">
        <v>240.2</v>
      </c>
      <c r="S25" s="113">
        <v>0.04</v>
      </c>
      <c r="T25" s="114">
        <v>7.0000000000000007E-2</v>
      </c>
      <c r="U25" s="114">
        <v>0.12</v>
      </c>
      <c r="V25" s="114">
        <v>0.18</v>
      </c>
      <c r="W25" s="114">
        <v>0.4</v>
      </c>
      <c r="X25" s="78">
        <v>5.6</v>
      </c>
      <c r="Y25" s="73">
        <v>21.9</v>
      </c>
      <c r="Z25" s="73">
        <v>36.700000000000003</v>
      </c>
      <c r="AA25" s="73">
        <v>51.5</v>
      </c>
      <c r="AB25" s="73">
        <v>245.2</v>
      </c>
      <c r="AC25" s="117">
        <v>15</v>
      </c>
      <c r="AD25" s="118">
        <v>35</v>
      </c>
      <c r="AE25" s="119" t="s">
        <v>199</v>
      </c>
      <c r="AF25" s="55"/>
    </row>
    <row r="26" spans="2:32" x14ac:dyDescent="0.85">
      <c r="B26" s="56"/>
      <c r="C26" s="82" t="s">
        <v>200</v>
      </c>
      <c r="D26" s="86">
        <v>23</v>
      </c>
      <c r="E26" s="90">
        <v>27.7</v>
      </c>
      <c r="F26" s="90">
        <v>39.9</v>
      </c>
      <c r="G26" s="90">
        <v>50.2</v>
      </c>
      <c r="H26" s="90">
        <v>71.099999999999994</v>
      </c>
      <c r="I26" s="84" t="s">
        <v>179</v>
      </c>
      <c r="J26" s="85" t="s">
        <v>179</v>
      </c>
      <c r="K26" s="85" t="s">
        <v>179</v>
      </c>
      <c r="L26" s="85" t="s">
        <v>179</v>
      </c>
      <c r="M26" s="85" t="s">
        <v>179</v>
      </c>
      <c r="N26" s="86">
        <v>0</v>
      </c>
      <c r="O26" s="87">
        <v>1</v>
      </c>
      <c r="P26" s="87">
        <v>2.5</v>
      </c>
      <c r="Q26" s="87">
        <v>5.4</v>
      </c>
      <c r="R26" s="87">
        <v>7.5</v>
      </c>
      <c r="S26" s="86">
        <v>0.15</v>
      </c>
      <c r="T26" s="87">
        <v>0.16</v>
      </c>
      <c r="U26" s="87">
        <v>0.21</v>
      </c>
      <c r="V26" s="87">
        <v>0.28999999999999998</v>
      </c>
      <c r="W26" s="87">
        <v>0.4</v>
      </c>
      <c r="X26" s="120">
        <v>16.899999999999999</v>
      </c>
      <c r="Y26" s="121">
        <v>27.175000000000001</v>
      </c>
      <c r="Z26" s="121">
        <v>31.950000000000003</v>
      </c>
      <c r="AA26" s="121">
        <v>47.449999999999996</v>
      </c>
      <c r="AB26" s="121">
        <v>79</v>
      </c>
      <c r="AC26" s="122">
        <v>7</v>
      </c>
      <c r="AD26" s="123">
        <v>18</v>
      </c>
      <c r="AE26" s="124" t="s">
        <v>199</v>
      </c>
      <c r="AF26" s="55"/>
    </row>
    <row r="27" spans="2:32" x14ac:dyDescent="0.85">
      <c r="B27" s="56"/>
      <c r="C27" s="82" t="s">
        <v>201</v>
      </c>
      <c r="D27" s="86">
        <v>3.9</v>
      </c>
      <c r="E27" s="87">
        <v>4.0999999999999996</v>
      </c>
      <c r="F27" s="125">
        <v>5</v>
      </c>
      <c r="G27" s="87">
        <v>5.0999999999999996</v>
      </c>
      <c r="H27" s="87">
        <v>5.3</v>
      </c>
      <c r="I27" s="84" t="s">
        <v>179</v>
      </c>
      <c r="J27" s="85" t="s">
        <v>179</v>
      </c>
      <c r="K27" s="85" t="s">
        <v>179</v>
      </c>
      <c r="L27" s="85" t="s">
        <v>179</v>
      </c>
      <c r="M27" s="85" t="s">
        <v>179</v>
      </c>
      <c r="N27" s="86">
        <v>9.6999999999999993</v>
      </c>
      <c r="O27" s="90">
        <v>34.6</v>
      </c>
      <c r="P27" s="90">
        <v>73.2</v>
      </c>
      <c r="Q27" s="90">
        <v>118.3</v>
      </c>
      <c r="R27" s="90">
        <v>240.2</v>
      </c>
      <c r="S27" s="84" t="s">
        <v>170</v>
      </c>
      <c r="T27" s="85" t="s">
        <v>170</v>
      </c>
      <c r="U27" s="85" t="s">
        <v>170</v>
      </c>
      <c r="V27" s="85" t="s">
        <v>170</v>
      </c>
      <c r="W27" s="85" t="s">
        <v>170</v>
      </c>
      <c r="X27" s="120">
        <v>15</v>
      </c>
      <c r="Y27" s="121">
        <v>39.4</v>
      </c>
      <c r="Z27" s="121">
        <v>47</v>
      </c>
      <c r="AA27" s="121">
        <v>118.35</v>
      </c>
      <c r="AB27" s="121">
        <v>245.2</v>
      </c>
      <c r="AC27" s="122">
        <v>7</v>
      </c>
      <c r="AD27" s="123">
        <v>9</v>
      </c>
      <c r="AE27" s="124" t="s">
        <v>199</v>
      </c>
      <c r="AF27" s="55"/>
    </row>
    <row r="28" spans="2:32" x14ac:dyDescent="0.85">
      <c r="B28" s="56"/>
      <c r="C28" s="82" t="s">
        <v>202</v>
      </c>
      <c r="D28" s="86">
        <v>5.7</v>
      </c>
      <c r="E28" s="125">
        <v>8</v>
      </c>
      <c r="F28" s="87">
        <v>15</v>
      </c>
      <c r="G28" s="90">
        <v>19.100000000000001</v>
      </c>
      <c r="H28" s="90">
        <v>20.5</v>
      </c>
      <c r="I28" s="84" t="s">
        <v>179</v>
      </c>
      <c r="J28" s="85" t="s">
        <v>179</v>
      </c>
      <c r="K28" s="85" t="s">
        <v>179</v>
      </c>
      <c r="L28" s="85" t="s">
        <v>179</v>
      </c>
      <c r="M28" s="85" t="s">
        <v>179</v>
      </c>
      <c r="N28" s="86">
        <v>0</v>
      </c>
      <c r="O28" s="87">
        <v>0.7</v>
      </c>
      <c r="P28" s="87">
        <v>0.9</v>
      </c>
      <c r="Q28" s="90">
        <v>56.1</v>
      </c>
      <c r="R28" s="90">
        <v>76.8</v>
      </c>
      <c r="S28" s="86">
        <v>0.04</v>
      </c>
      <c r="T28" s="87">
        <v>0.04</v>
      </c>
      <c r="U28" s="87">
        <v>0.06</v>
      </c>
      <c r="V28" s="87">
        <v>0.08</v>
      </c>
      <c r="W28" s="87">
        <v>0.08</v>
      </c>
      <c r="X28" s="126">
        <v>5.6</v>
      </c>
      <c r="Y28" s="127">
        <v>5.7675000000000001</v>
      </c>
      <c r="Z28" s="121">
        <v>11.25</v>
      </c>
      <c r="AA28" s="121">
        <v>38.5</v>
      </c>
      <c r="AB28" s="121">
        <v>97.2</v>
      </c>
      <c r="AC28" s="122">
        <v>5</v>
      </c>
      <c r="AD28" s="123">
        <v>8</v>
      </c>
      <c r="AE28" s="124" t="s">
        <v>199</v>
      </c>
      <c r="AF28" s="55"/>
    </row>
    <row r="29" spans="2:32" x14ac:dyDescent="0.85">
      <c r="B29" s="56"/>
      <c r="C29" s="112" t="s">
        <v>203</v>
      </c>
      <c r="D29" s="128">
        <v>0.458652905</v>
      </c>
      <c r="E29" s="129">
        <v>2.8049999999999997</v>
      </c>
      <c r="F29" s="129">
        <v>6.1556464844219487</v>
      </c>
      <c r="G29" s="115">
        <v>10.179445450212993</v>
      </c>
      <c r="H29" s="115">
        <v>40.079178082191774</v>
      </c>
      <c r="I29" s="116" t="s">
        <v>179</v>
      </c>
      <c r="J29" s="68" t="s">
        <v>179</v>
      </c>
      <c r="K29" s="68" t="s">
        <v>179</v>
      </c>
      <c r="L29" s="68" t="s">
        <v>179</v>
      </c>
      <c r="M29" s="68" t="s">
        <v>179</v>
      </c>
      <c r="N29" s="130">
        <v>0</v>
      </c>
      <c r="O29" s="115">
        <v>0</v>
      </c>
      <c r="P29" s="129">
        <v>1.9</v>
      </c>
      <c r="Q29" s="129">
        <v>3.546336505675252</v>
      </c>
      <c r="R29" s="115">
        <v>36.981434751261716</v>
      </c>
      <c r="S29" s="130">
        <v>0</v>
      </c>
      <c r="T29" s="115">
        <v>0</v>
      </c>
      <c r="U29" s="131">
        <v>4.0000000000000001E-3</v>
      </c>
      <c r="V29" s="132">
        <v>6.5369156895000002E-2</v>
      </c>
      <c r="W29" s="132">
        <v>0.43516944444444444</v>
      </c>
      <c r="X29" s="128">
        <v>0.57399999999999995</v>
      </c>
      <c r="Y29" s="129">
        <v>8.3676128474202507</v>
      </c>
      <c r="Z29" s="115">
        <v>20.5</v>
      </c>
      <c r="AA29" s="115">
        <v>27.369999999999997</v>
      </c>
      <c r="AB29" s="115">
        <v>74.877082832652405</v>
      </c>
      <c r="AC29" s="133">
        <v>22</v>
      </c>
      <c r="AD29" s="134">
        <v>149</v>
      </c>
      <c r="AE29" s="119" t="s">
        <v>204</v>
      </c>
      <c r="AF29" s="55" t="s">
        <v>205</v>
      </c>
    </row>
    <row r="30" spans="2:32" x14ac:dyDescent="0.85">
      <c r="B30" s="56"/>
      <c r="C30" s="57" t="s">
        <v>206</v>
      </c>
      <c r="D30" s="135">
        <v>0.458652905</v>
      </c>
      <c r="E30" s="127">
        <v>3.0093447017223682</v>
      </c>
      <c r="F30" s="136">
        <v>3.7952920149999998</v>
      </c>
      <c r="G30" s="127">
        <v>6.1473793623724875</v>
      </c>
      <c r="H30" s="121">
        <v>23.238020820615503</v>
      </c>
      <c r="I30" s="84" t="s">
        <v>179</v>
      </c>
      <c r="J30" s="59" t="s">
        <v>179</v>
      </c>
      <c r="K30" s="85" t="s">
        <v>179</v>
      </c>
      <c r="L30" s="59" t="s">
        <v>179</v>
      </c>
      <c r="M30" s="59" t="s">
        <v>179</v>
      </c>
      <c r="N30" s="120">
        <v>0</v>
      </c>
      <c r="O30" s="121">
        <v>0</v>
      </c>
      <c r="P30" s="137">
        <v>0.54897638888888889</v>
      </c>
      <c r="Q30" s="127">
        <v>5.3467548762404471</v>
      </c>
      <c r="R30" s="121">
        <v>19.738073726792503</v>
      </c>
      <c r="S30" s="120">
        <v>0</v>
      </c>
      <c r="T30" s="121">
        <v>0</v>
      </c>
      <c r="U30" s="138">
        <v>4.0000000000000001E-3</v>
      </c>
      <c r="V30" s="139">
        <v>6.866746E-2</v>
      </c>
      <c r="W30" s="139">
        <v>0.43516944444444444</v>
      </c>
      <c r="X30" s="126">
        <v>1.6008</v>
      </c>
      <c r="Y30" s="127">
        <v>5.7213280557499999</v>
      </c>
      <c r="Z30" s="121">
        <v>12.76</v>
      </c>
      <c r="AA30" s="121">
        <v>21.450000000000003</v>
      </c>
      <c r="AB30" s="121">
        <v>42.97609454740801</v>
      </c>
      <c r="AC30" s="122">
        <v>14</v>
      </c>
      <c r="AD30" s="123">
        <v>48</v>
      </c>
      <c r="AE30" s="124" t="s">
        <v>204</v>
      </c>
      <c r="AF30" s="55" t="s">
        <v>205</v>
      </c>
    </row>
    <row r="31" spans="2:32" x14ac:dyDescent="0.85">
      <c r="B31" s="56"/>
      <c r="C31" s="57" t="s">
        <v>207</v>
      </c>
      <c r="D31" s="135">
        <v>0.57199999999999995</v>
      </c>
      <c r="E31" s="127">
        <v>2.8049999999999997</v>
      </c>
      <c r="F31" s="136">
        <v>7.8003960516695452</v>
      </c>
      <c r="G31" s="121">
        <v>12.56793615671857</v>
      </c>
      <c r="H31" s="121">
        <v>40.079178082191774</v>
      </c>
      <c r="I31" s="84" t="s">
        <v>179</v>
      </c>
      <c r="J31" s="59" t="s">
        <v>179</v>
      </c>
      <c r="K31" s="85" t="s">
        <v>179</v>
      </c>
      <c r="L31" s="59" t="s">
        <v>179</v>
      </c>
      <c r="M31" s="59" t="s">
        <v>179</v>
      </c>
      <c r="N31" s="120">
        <v>0</v>
      </c>
      <c r="O31" s="121">
        <v>0</v>
      </c>
      <c r="P31" s="136">
        <v>1.9</v>
      </c>
      <c r="Q31" s="127">
        <v>1.9</v>
      </c>
      <c r="R31" s="121">
        <v>36.981434751261716</v>
      </c>
      <c r="S31" s="120">
        <v>0</v>
      </c>
      <c r="T31" s="121">
        <v>0</v>
      </c>
      <c r="U31" s="138">
        <v>1E-3</v>
      </c>
      <c r="V31" s="139">
        <v>4.7553140342500008E-2</v>
      </c>
      <c r="W31" s="127">
        <v>0.3</v>
      </c>
      <c r="X31" s="135">
        <v>0.57399999999999995</v>
      </c>
      <c r="Y31" s="121">
        <v>11.227500000000001</v>
      </c>
      <c r="Z31" s="121">
        <v>22.734999999999999</v>
      </c>
      <c r="AA31" s="121">
        <v>29.182500000000001</v>
      </c>
      <c r="AB31" s="121">
        <v>74.877082832652405</v>
      </c>
      <c r="AC31" s="122">
        <v>13</v>
      </c>
      <c r="AD31" s="123">
        <v>101</v>
      </c>
      <c r="AE31" s="124" t="s">
        <v>204</v>
      </c>
      <c r="AF31" s="55" t="s">
        <v>205</v>
      </c>
    </row>
    <row r="32" spans="2:32" x14ac:dyDescent="0.85">
      <c r="B32" s="56"/>
      <c r="C32" s="112" t="s">
        <v>208</v>
      </c>
      <c r="D32" s="140" t="s">
        <v>170</v>
      </c>
      <c r="E32" s="141" t="s">
        <v>170</v>
      </c>
      <c r="F32" s="141" t="s">
        <v>170</v>
      </c>
      <c r="G32" s="141" t="s">
        <v>170</v>
      </c>
      <c r="H32" s="142" t="s">
        <v>170</v>
      </c>
      <c r="I32" s="116" t="s">
        <v>179</v>
      </c>
      <c r="J32" s="68" t="s">
        <v>179</v>
      </c>
      <c r="K32" s="68" t="s">
        <v>179</v>
      </c>
      <c r="L32" s="68" t="s">
        <v>179</v>
      </c>
      <c r="M32" s="68" t="s">
        <v>179</v>
      </c>
      <c r="N32" s="140" t="s">
        <v>170</v>
      </c>
      <c r="O32" s="141" t="s">
        <v>170</v>
      </c>
      <c r="P32" s="141" t="s">
        <v>170</v>
      </c>
      <c r="Q32" s="141" t="s">
        <v>170</v>
      </c>
      <c r="R32" s="142" t="s">
        <v>170</v>
      </c>
      <c r="S32" s="140" t="s">
        <v>170</v>
      </c>
      <c r="T32" s="143" t="s">
        <v>170</v>
      </c>
      <c r="U32" s="143" t="s">
        <v>170</v>
      </c>
      <c r="V32" s="143" t="s">
        <v>170</v>
      </c>
      <c r="W32" s="141" t="s">
        <v>170</v>
      </c>
      <c r="X32" s="144">
        <v>2</v>
      </c>
      <c r="Y32" s="145">
        <v>6</v>
      </c>
      <c r="Z32" s="145">
        <v>8</v>
      </c>
      <c r="AA32" s="145">
        <v>9</v>
      </c>
      <c r="AB32" s="73">
        <v>23</v>
      </c>
      <c r="AC32" s="117">
        <v>5</v>
      </c>
      <c r="AD32" s="118">
        <v>10</v>
      </c>
      <c r="AE32" s="119" t="s">
        <v>209</v>
      </c>
      <c r="AF32" s="55"/>
    </row>
    <row r="33" spans="2:32" x14ac:dyDescent="0.85">
      <c r="B33" s="56"/>
      <c r="C33" s="146" t="s">
        <v>210</v>
      </c>
      <c r="D33" s="147">
        <v>3.5312249956383379</v>
      </c>
      <c r="E33" s="148">
        <v>8.4250000000000007</v>
      </c>
      <c r="F33" s="149">
        <v>11.796425259725508</v>
      </c>
      <c r="G33" s="149">
        <v>21.567</v>
      </c>
      <c r="H33" s="149">
        <v>43.069408929477426</v>
      </c>
      <c r="I33" s="116" t="s">
        <v>179</v>
      </c>
      <c r="J33" s="68" t="s">
        <v>179</v>
      </c>
      <c r="K33" s="68" t="s">
        <v>179</v>
      </c>
      <c r="L33" s="68" t="s">
        <v>179</v>
      </c>
      <c r="M33" s="68" t="s">
        <v>179</v>
      </c>
      <c r="N33" s="150">
        <v>4.0699999999999993E-2</v>
      </c>
      <c r="O33" s="114">
        <v>0.4</v>
      </c>
      <c r="P33" s="151">
        <v>0.74</v>
      </c>
      <c r="Q33" s="129">
        <v>3.9442245869815391</v>
      </c>
      <c r="R33" s="115">
        <v>21.308495575221237</v>
      </c>
      <c r="S33" s="152">
        <v>-9.7680000000000007</v>
      </c>
      <c r="T33" s="151">
        <v>0.11944081975201691</v>
      </c>
      <c r="U33" s="151">
        <v>0.33633166745615295</v>
      </c>
      <c r="V33" s="114">
        <v>0.51</v>
      </c>
      <c r="W33" s="148">
        <v>4.3158675799086872</v>
      </c>
      <c r="X33" s="152">
        <v>1.2999999933983777</v>
      </c>
      <c r="Y33" s="129">
        <v>8.0968750000000007</v>
      </c>
      <c r="Z33" s="115">
        <v>13</v>
      </c>
      <c r="AA33" s="115">
        <v>22.230917999999999</v>
      </c>
      <c r="AB33" s="115">
        <v>81</v>
      </c>
      <c r="AC33" s="133">
        <v>69</v>
      </c>
      <c r="AD33" s="134">
        <v>186</v>
      </c>
      <c r="AE33" s="81" t="s">
        <v>211</v>
      </c>
      <c r="AF33" s="55" t="s">
        <v>205</v>
      </c>
    </row>
    <row r="34" spans="2:32" x14ac:dyDescent="0.85">
      <c r="B34" s="56"/>
      <c r="C34" s="82" t="s">
        <v>212</v>
      </c>
      <c r="D34" s="105">
        <v>3.5312249956383379</v>
      </c>
      <c r="E34" s="106">
        <v>7.241915045523732</v>
      </c>
      <c r="F34" s="103">
        <v>11</v>
      </c>
      <c r="G34" s="103">
        <v>18.738399923896502</v>
      </c>
      <c r="H34" s="103">
        <v>43.069408929477426</v>
      </c>
      <c r="I34" s="84" t="s">
        <v>179</v>
      </c>
      <c r="J34" s="85" t="s">
        <v>179</v>
      </c>
      <c r="K34" s="85" t="s">
        <v>179</v>
      </c>
      <c r="L34" s="85" t="s">
        <v>179</v>
      </c>
      <c r="M34" s="85" t="s">
        <v>179</v>
      </c>
      <c r="N34" s="107">
        <v>4.0699999999999993E-2</v>
      </c>
      <c r="O34" s="61">
        <v>0.4</v>
      </c>
      <c r="P34" s="111">
        <v>0.74</v>
      </c>
      <c r="Q34" s="127">
        <v>1.9537141452866695</v>
      </c>
      <c r="R34" s="121">
        <v>21.308495575221237</v>
      </c>
      <c r="S34" s="153">
        <v>-9.7679999999999989</v>
      </c>
      <c r="T34" s="110">
        <v>6.2021828908554566E-2</v>
      </c>
      <c r="U34" s="111">
        <v>0.27</v>
      </c>
      <c r="V34" s="139">
        <v>0.42336113749150561</v>
      </c>
      <c r="W34" s="106">
        <v>1.29</v>
      </c>
      <c r="X34" s="126">
        <v>1.2999999933983777</v>
      </c>
      <c r="Y34" s="154">
        <v>7.9</v>
      </c>
      <c r="Z34" s="121">
        <v>12.149999999999999</v>
      </c>
      <c r="AA34" s="121">
        <v>20.852499999999999</v>
      </c>
      <c r="AB34" s="61">
        <v>81</v>
      </c>
      <c r="AC34" s="155"/>
      <c r="AD34" s="156"/>
      <c r="AE34" s="157" t="s">
        <v>211</v>
      </c>
      <c r="AF34" s="55" t="s">
        <v>205</v>
      </c>
    </row>
    <row r="35" spans="2:32" ht="15.25" thickBot="1" x14ac:dyDescent="1">
      <c r="B35" s="158"/>
      <c r="C35" s="159" t="s">
        <v>213</v>
      </c>
      <c r="D35" s="160">
        <v>6.6124999999999998</v>
      </c>
      <c r="E35" s="161">
        <v>11.073500000000001</v>
      </c>
      <c r="F35" s="161">
        <v>19.978551640625</v>
      </c>
      <c r="G35" s="161">
        <v>26.245369271852567</v>
      </c>
      <c r="H35" s="161">
        <v>32.57118803000651</v>
      </c>
      <c r="I35" s="162" t="s">
        <v>179</v>
      </c>
      <c r="J35" s="163" t="s">
        <v>179</v>
      </c>
      <c r="K35" s="163" t="s">
        <v>179</v>
      </c>
      <c r="L35" s="163" t="s">
        <v>179</v>
      </c>
      <c r="M35" s="163" t="s">
        <v>179</v>
      </c>
      <c r="N35" s="160">
        <v>0.1</v>
      </c>
      <c r="O35" s="164">
        <v>0.44</v>
      </c>
      <c r="P35" s="165">
        <v>4.4882325647856511</v>
      </c>
      <c r="Q35" s="166">
        <v>7.0803449119373729</v>
      </c>
      <c r="R35" s="167">
        <v>13.5</v>
      </c>
      <c r="S35" s="168">
        <v>1.9300000000000001E-2</v>
      </c>
      <c r="T35" s="169">
        <v>0.38034083496412258</v>
      </c>
      <c r="U35" s="170">
        <v>0.49</v>
      </c>
      <c r="V35" s="171">
        <v>0.79648075668623552</v>
      </c>
      <c r="W35" s="172">
        <v>4.3158675799086872</v>
      </c>
      <c r="X35" s="173">
        <v>5.2815540000000007</v>
      </c>
      <c r="Y35" s="174">
        <v>12.059999999999999</v>
      </c>
      <c r="Z35" s="167">
        <v>19.328125</v>
      </c>
      <c r="AA35" s="167">
        <v>28.475000000000001</v>
      </c>
      <c r="AB35" s="167">
        <v>43.7</v>
      </c>
      <c r="AC35" s="175"/>
      <c r="AD35" s="176"/>
      <c r="AE35" s="177" t="s">
        <v>211</v>
      </c>
      <c r="AF35" s="55" t="s">
        <v>205</v>
      </c>
    </row>
    <row r="36" spans="2:32" x14ac:dyDescent="0.85">
      <c r="B36" s="282" t="s">
        <v>214</v>
      </c>
      <c r="C36" s="178" t="s">
        <v>215</v>
      </c>
      <c r="D36" s="66" t="s">
        <v>170</v>
      </c>
      <c r="E36" s="67" t="s">
        <v>170</v>
      </c>
      <c r="F36" s="129">
        <v>2</v>
      </c>
      <c r="G36" s="67" t="s">
        <v>170</v>
      </c>
      <c r="H36" s="67" t="s">
        <v>170</v>
      </c>
      <c r="I36" s="179" t="s">
        <v>179</v>
      </c>
      <c r="J36" s="180" t="s">
        <v>179</v>
      </c>
      <c r="K36" s="180" t="s">
        <v>179</v>
      </c>
      <c r="L36" s="180" t="s">
        <v>179</v>
      </c>
      <c r="M36" s="180" t="s">
        <v>179</v>
      </c>
      <c r="N36" s="66" t="s">
        <v>170</v>
      </c>
      <c r="O36" s="67" t="s">
        <v>170</v>
      </c>
      <c r="P36" s="115">
        <v>11.65</v>
      </c>
      <c r="Q36" s="67" t="s">
        <v>170</v>
      </c>
      <c r="R36" s="67" t="s">
        <v>170</v>
      </c>
      <c r="S36" s="66" t="s">
        <v>170</v>
      </c>
      <c r="T36" s="67" t="s">
        <v>170</v>
      </c>
      <c r="U36" s="132">
        <v>0.7</v>
      </c>
      <c r="V36" s="67" t="s">
        <v>170</v>
      </c>
      <c r="W36" s="67" t="s">
        <v>170</v>
      </c>
      <c r="X36" s="78">
        <v>3.1</v>
      </c>
      <c r="Y36" s="72">
        <v>7.7</v>
      </c>
      <c r="Z36" s="72">
        <v>13</v>
      </c>
      <c r="AA36" s="72">
        <v>31</v>
      </c>
      <c r="AB36" s="72">
        <v>220</v>
      </c>
      <c r="AC36" s="79">
        <v>27</v>
      </c>
      <c r="AD36" s="80">
        <v>99</v>
      </c>
      <c r="AE36" s="81" t="s">
        <v>216</v>
      </c>
      <c r="AF36" s="55"/>
    </row>
    <row r="37" spans="2:32" x14ac:dyDescent="0.85">
      <c r="B37" s="282"/>
      <c r="C37" s="181" t="s">
        <v>217</v>
      </c>
      <c r="D37" s="58" t="s">
        <v>170</v>
      </c>
      <c r="E37" s="59" t="s">
        <v>170</v>
      </c>
      <c r="F37" s="125">
        <v>2</v>
      </c>
      <c r="G37" s="59" t="s">
        <v>170</v>
      </c>
      <c r="H37" s="59" t="s">
        <v>170</v>
      </c>
      <c r="I37" s="182" t="s">
        <v>179</v>
      </c>
      <c r="J37" s="183" t="s">
        <v>179</v>
      </c>
      <c r="K37" s="183" t="s">
        <v>179</v>
      </c>
      <c r="L37" s="183" t="s">
        <v>179</v>
      </c>
      <c r="M37" s="183" t="s">
        <v>179</v>
      </c>
      <c r="N37" s="58" t="s">
        <v>170</v>
      </c>
      <c r="O37" s="59" t="s">
        <v>170</v>
      </c>
      <c r="P37" s="87">
        <v>9.9</v>
      </c>
      <c r="Q37" s="59" t="s">
        <v>170</v>
      </c>
      <c r="R37" s="59" t="s">
        <v>170</v>
      </c>
      <c r="S37" s="58" t="s">
        <v>170</v>
      </c>
      <c r="T37" s="59" t="s">
        <v>170</v>
      </c>
      <c r="U37" s="87">
        <v>0.45</v>
      </c>
      <c r="V37" s="59" t="s">
        <v>170</v>
      </c>
      <c r="W37" s="59" t="s">
        <v>170</v>
      </c>
      <c r="X37" s="60">
        <v>3.1</v>
      </c>
      <c r="Y37" s="61">
        <v>5.6</v>
      </c>
      <c r="Z37" s="61">
        <v>14</v>
      </c>
      <c r="AA37" s="61">
        <v>53</v>
      </c>
      <c r="AB37" s="61">
        <v>220</v>
      </c>
      <c r="AC37" s="62"/>
      <c r="AD37" s="63"/>
      <c r="AE37" s="64" t="s">
        <v>216</v>
      </c>
      <c r="AF37" s="55"/>
    </row>
    <row r="38" spans="2:32" x14ac:dyDescent="0.85">
      <c r="B38" s="282"/>
      <c r="C38" s="181" t="s">
        <v>218</v>
      </c>
      <c r="D38" s="58" t="s">
        <v>170</v>
      </c>
      <c r="E38" s="59" t="s">
        <v>170</v>
      </c>
      <c r="F38" s="87">
        <v>1.1000000000000001</v>
      </c>
      <c r="G38" s="59" t="s">
        <v>170</v>
      </c>
      <c r="H38" s="59" t="s">
        <v>170</v>
      </c>
      <c r="I38" s="182" t="s">
        <v>179</v>
      </c>
      <c r="J38" s="183" t="s">
        <v>179</v>
      </c>
      <c r="K38" s="183" t="s">
        <v>179</v>
      </c>
      <c r="L38" s="183" t="s">
        <v>179</v>
      </c>
      <c r="M38" s="183" t="s">
        <v>179</v>
      </c>
      <c r="N38" s="58" t="s">
        <v>170</v>
      </c>
      <c r="O38" s="59" t="s">
        <v>170</v>
      </c>
      <c r="P38" s="87">
        <v>12</v>
      </c>
      <c r="Q38" s="59" t="s">
        <v>170</v>
      </c>
      <c r="R38" s="59" t="s">
        <v>170</v>
      </c>
      <c r="S38" s="58" t="s">
        <v>170</v>
      </c>
      <c r="T38" s="59" t="s">
        <v>170</v>
      </c>
      <c r="U38" s="87">
        <v>1</v>
      </c>
      <c r="V38" s="59" t="s">
        <v>170</v>
      </c>
      <c r="W38" s="59" t="s">
        <v>170</v>
      </c>
      <c r="X38" s="60">
        <v>3.7</v>
      </c>
      <c r="Y38" s="61">
        <v>10</v>
      </c>
      <c r="Z38" s="61">
        <v>21</v>
      </c>
      <c r="AA38" s="61">
        <v>24</v>
      </c>
      <c r="AB38" s="61">
        <v>30</v>
      </c>
      <c r="AC38" s="62"/>
      <c r="AD38" s="63"/>
      <c r="AE38" s="64" t="s">
        <v>216</v>
      </c>
      <c r="AF38" s="55"/>
    </row>
    <row r="39" spans="2:32" x14ac:dyDescent="0.85">
      <c r="B39" s="282"/>
      <c r="C39" s="178" t="s">
        <v>219</v>
      </c>
      <c r="D39" s="140" t="s">
        <v>170</v>
      </c>
      <c r="E39" s="141" t="s">
        <v>170</v>
      </c>
      <c r="F39" s="141" t="s">
        <v>170</v>
      </c>
      <c r="G39" s="141" t="s">
        <v>170</v>
      </c>
      <c r="H39" s="142" t="s">
        <v>170</v>
      </c>
      <c r="I39" s="116" t="s">
        <v>179</v>
      </c>
      <c r="J39" s="68" t="s">
        <v>179</v>
      </c>
      <c r="K39" s="68" t="s">
        <v>179</v>
      </c>
      <c r="L39" s="68" t="s">
        <v>179</v>
      </c>
      <c r="M39" s="68" t="s">
        <v>179</v>
      </c>
      <c r="N39" s="140" t="s">
        <v>170</v>
      </c>
      <c r="O39" s="141" t="s">
        <v>170</v>
      </c>
      <c r="P39" s="141" t="s">
        <v>170</v>
      </c>
      <c r="Q39" s="141" t="s">
        <v>170</v>
      </c>
      <c r="R39" s="142" t="s">
        <v>170</v>
      </c>
      <c r="S39" s="140" t="s">
        <v>170</v>
      </c>
      <c r="T39" s="143" t="s">
        <v>170</v>
      </c>
      <c r="U39" s="143" t="s">
        <v>170</v>
      </c>
      <c r="V39" s="143" t="s">
        <v>170</v>
      </c>
      <c r="W39" s="141" t="s">
        <v>170</v>
      </c>
      <c r="X39" s="140" t="s">
        <v>170</v>
      </c>
      <c r="Y39" s="143" t="s">
        <v>170</v>
      </c>
      <c r="Z39" s="143" t="s">
        <v>170</v>
      </c>
      <c r="AA39" s="143" t="s">
        <v>170</v>
      </c>
      <c r="AB39" s="141" t="s">
        <v>170</v>
      </c>
      <c r="AC39" s="184"/>
      <c r="AD39" s="185"/>
      <c r="AE39" s="81" t="s">
        <v>216</v>
      </c>
      <c r="AF39" s="55"/>
    </row>
    <row r="40" spans="2:32" x14ac:dyDescent="0.85">
      <c r="B40" s="282"/>
      <c r="C40" s="181" t="s">
        <v>220</v>
      </c>
      <c r="D40" s="186" t="s">
        <v>170</v>
      </c>
      <c r="E40" s="187" t="s">
        <v>170</v>
      </c>
      <c r="F40" s="188">
        <v>2</v>
      </c>
      <c r="G40" s="187" t="s">
        <v>170</v>
      </c>
      <c r="H40" s="187" t="s">
        <v>170</v>
      </c>
      <c r="I40" s="182" t="s">
        <v>179</v>
      </c>
      <c r="J40" s="183" t="s">
        <v>179</v>
      </c>
      <c r="K40" s="183" t="s">
        <v>179</v>
      </c>
      <c r="L40" s="183" t="s">
        <v>179</v>
      </c>
      <c r="M40" s="183" t="s">
        <v>179</v>
      </c>
      <c r="N40" s="186" t="s">
        <v>170</v>
      </c>
      <c r="O40" s="187" t="s">
        <v>170</v>
      </c>
      <c r="P40" s="189">
        <v>0.37</v>
      </c>
      <c r="Q40" s="187" t="s">
        <v>170</v>
      </c>
      <c r="R40" s="187" t="s">
        <v>170</v>
      </c>
      <c r="S40" s="186" t="s">
        <v>170</v>
      </c>
      <c r="T40" s="187" t="s">
        <v>170</v>
      </c>
      <c r="U40" s="189">
        <v>0.34</v>
      </c>
      <c r="V40" s="187" t="s">
        <v>170</v>
      </c>
      <c r="W40" s="187" t="s">
        <v>170</v>
      </c>
      <c r="X40" s="60">
        <v>1.7</v>
      </c>
      <c r="Y40" s="61">
        <v>14</v>
      </c>
      <c r="Z40" s="61">
        <v>57</v>
      </c>
      <c r="AA40" s="61">
        <v>64</v>
      </c>
      <c r="AB40" s="61">
        <v>150</v>
      </c>
      <c r="AC40" s="190"/>
      <c r="AD40" s="191"/>
      <c r="AE40" s="192" t="s">
        <v>216</v>
      </c>
      <c r="AF40" s="55"/>
    </row>
    <row r="41" spans="2:32" x14ac:dyDescent="0.85">
      <c r="B41" s="282"/>
      <c r="C41" s="181" t="s">
        <v>221</v>
      </c>
      <c r="D41" s="186" t="s">
        <v>170</v>
      </c>
      <c r="E41" s="187" t="s">
        <v>170</v>
      </c>
      <c r="F41" s="189">
        <v>1.1000000000000001</v>
      </c>
      <c r="G41" s="187" t="s">
        <v>170</v>
      </c>
      <c r="H41" s="187" t="s">
        <v>170</v>
      </c>
      <c r="I41" s="182" t="s">
        <v>179</v>
      </c>
      <c r="J41" s="183" t="s">
        <v>179</v>
      </c>
      <c r="K41" s="183" t="s">
        <v>179</v>
      </c>
      <c r="L41" s="183" t="s">
        <v>179</v>
      </c>
      <c r="M41" s="183" t="s">
        <v>179</v>
      </c>
      <c r="N41" s="186" t="s">
        <v>170</v>
      </c>
      <c r="O41" s="187" t="s">
        <v>170</v>
      </c>
      <c r="P41" s="189">
        <v>12</v>
      </c>
      <c r="Q41" s="187" t="s">
        <v>170</v>
      </c>
      <c r="R41" s="187" t="s">
        <v>170</v>
      </c>
      <c r="S41" s="186" t="s">
        <v>170</v>
      </c>
      <c r="T41" s="187" t="s">
        <v>170</v>
      </c>
      <c r="U41" s="188">
        <v>1</v>
      </c>
      <c r="V41" s="187" t="s">
        <v>170</v>
      </c>
      <c r="W41" s="187" t="s">
        <v>170</v>
      </c>
      <c r="X41" s="60">
        <v>5.0999999999999996</v>
      </c>
      <c r="Y41" s="127">
        <v>6</v>
      </c>
      <c r="Z41" s="61">
        <v>6.9</v>
      </c>
      <c r="AA41" s="61">
        <v>17</v>
      </c>
      <c r="AB41" s="61">
        <v>28</v>
      </c>
      <c r="AC41" s="190"/>
      <c r="AD41" s="191"/>
      <c r="AE41" s="192" t="s">
        <v>216</v>
      </c>
      <c r="AF41" s="55"/>
    </row>
    <row r="42" spans="2:32" x14ac:dyDescent="0.85">
      <c r="B42" s="282"/>
      <c r="C42" s="181" t="s">
        <v>222</v>
      </c>
      <c r="D42" s="186" t="s">
        <v>170</v>
      </c>
      <c r="E42" s="187" t="s">
        <v>170</v>
      </c>
      <c r="F42" s="193" t="s">
        <v>170</v>
      </c>
      <c r="G42" s="187" t="s">
        <v>170</v>
      </c>
      <c r="H42" s="187" t="s">
        <v>170</v>
      </c>
      <c r="I42" s="182" t="s">
        <v>179</v>
      </c>
      <c r="J42" s="183" t="s">
        <v>179</v>
      </c>
      <c r="K42" s="183" t="s">
        <v>179</v>
      </c>
      <c r="L42" s="183" t="s">
        <v>179</v>
      </c>
      <c r="M42" s="183" t="s">
        <v>179</v>
      </c>
      <c r="N42" s="186" t="s">
        <v>170</v>
      </c>
      <c r="O42" s="187" t="s">
        <v>170</v>
      </c>
      <c r="P42" s="193" t="s">
        <v>170</v>
      </c>
      <c r="Q42" s="187" t="s">
        <v>170</v>
      </c>
      <c r="R42" s="187" t="s">
        <v>170</v>
      </c>
      <c r="S42" s="186" t="s">
        <v>170</v>
      </c>
      <c r="T42" s="187" t="s">
        <v>170</v>
      </c>
      <c r="U42" s="193" t="s">
        <v>170</v>
      </c>
      <c r="V42" s="187" t="s">
        <v>170</v>
      </c>
      <c r="W42" s="187" t="s">
        <v>170</v>
      </c>
      <c r="X42" s="60">
        <v>0.78</v>
      </c>
      <c r="Y42" s="61">
        <v>0.83</v>
      </c>
      <c r="Z42" s="61">
        <v>0.87</v>
      </c>
      <c r="AA42" s="61">
        <v>4.3</v>
      </c>
      <c r="AB42" s="61">
        <v>7.7</v>
      </c>
      <c r="AC42" s="190"/>
      <c r="AD42" s="191"/>
      <c r="AE42" s="192" t="s">
        <v>216</v>
      </c>
      <c r="AF42" s="55"/>
    </row>
    <row r="43" spans="2:32" x14ac:dyDescent="0.85">
      <c r="B43" s="282"/>
      <c r="C43" s="181" t="s">
        <v>223</v>
      </c>
      <c r="D43" s="186" t="s">
        <v>170</v>
      </c>
      <c r="E43" s="187" t="s">
        <v>170</v>
      </c>
      <c r="F43" s="189">
        <v>5.5</v>
      </c>
      <c r="G43" s="187" t="s">
        <v>170</v>
      </c>
      <c r="H43" s="187" t="s">
        <v>170</v>
      </c>
      <c r="I43" s="182" t="s">
        <v>179</v>
      </c>
      <c r="J43" s="183" t="s">
        <v>179</v>
      </c>
      <c r="K43" s="183" t="s">
        <v>179</v>
      </c>
      <c r="L43" s="183" t="s">
        <v>179</v>
      </c>
      <c r="M43" s="183" t="s">
        <v>179</v>
      </c>
      <c r="N43" s="186" t="s">
        <v>170</v>
      </c>
      <c r="O43" s="187" t="s">
        <v>170</v>
      </c>
      <c r="P43" s="189">
        <v>3.4</v>
      </c>
      <c r="Q43" s="187" t="s">
        <v>170</v>
      </c>
      <c r="R43" s="187" t="s">
        <v>170</v>
      </c>
      <c r="S43" s="186" t="s">
        <v>170</v>
      </c>
      <c r="T43" s="187" t="s">
        <v>170</v>
      </c>
      <c r="U43" s="189">
        <v>0.44</v>
      </c>
      <c r="V43" s="187" t="s">
        <v>170</v>
      </c>
      <c r="W43" s="187" t="s">
        <v>170</v>
      </c>
      <c r="X43" s="186" t="s">
        <v>170</v>
      </c>
      <c r="Y43" s="187" t="s">
        <v>170</v>
      </c>
      <c r="Z43" s="194" t="str">
        <f>"~"&amp;ROUND(SUM(F43,P43,U43),0)</f>
        <v>~9</v>
      </c>
      <c r="AA43" s="187" t="s">
        <v>170</v>
      </c>
      <c r="AB43" s="187" t="s">
        <v>170</v>
      </c>
      <c r="AC43" s="195"/>
      <c r="AD43" s="196"/>
      <c r="AE43" s="192" t="s">
        <v>216</v>
      </c>
      <c r="AF43" s="55"/>
    </row>
    <row r="44" spans="2:32" x14ac:dyDescent="0.85">
      <c r="B44" s="282"/>
      <c r="C44" s="112" t="s">
        <v>224</v>
      </c>
      <c r="D44" s="78">
        <v>0.01</v>
      </c>
      <c r="E44" s="72">
        <v>0.28000000000000003</v>
      </c>
      <c r="F44" s="72">
        <v>0.8</v>
      </c>
      <c r="G44" s="72">
        <v>2</v>
      </c>
      <c r="H44" s="72">
        <v>7.9</v>
      </c>
      <c r="I44" s="78">
        <v>43</v>
      </c>
      <c r="J44" s="72">
        <v>355</v>
      </c>
      <c r="K44" s="72">
        <v>389</v>
      </c>
      <c r="L44" s="72">
        <v>489</v>
      </c>
      <c r="M44" s="72">
        <v>820</v>
      </c>
      <c r="N44" s="78">
        <v>7</v>
      </c>
      <c r="O44" s="72">
        <v>51</v>
      </c>
      <c r="P44" s="72">
        <v>71</v>
      </c>
      <c r="Q44" s="72">
        <v>109</v>
      </c>
      <c r="R44" s="72">
        <v>227</v>
      </c>
      <c r="S44" s="78">
        <v>2E-3</v>
      </c>
      <c r="T44" s="197">
        <v>4.7499999999999999E-3</v>
      </c>
      <c r="U44" s="198">
        <v>1.4999999999999999E-2</v>
      </c>
      <c r="V44" s="198">
        <v>2.3E-2</v>
      </c>
      <c r="W44" s="198">
        <v>2.5000000000000001E-2</v>
      </c>
      <c r="X44" s="78">
        <v>307</v>
      </c>
      <c r="Y44" s="72">
        <v>427.25</v>
      </c>
      <c r="Z44" s="72">
        <v>486</v>
      </c>
      <c r="AA44" s="72">
        <v>550.5</v>
      </c>
      <c r="AB44" s="72">
        <v>988</v>
      </c>
      <c r="AC44" s="79" t="s">
        <v>225</v>
      </c>
      <c r="AD44" s="80" t="s">
        <v>226</v>
      </c>
      <c r="AE44" s="199" t="s">
        <v>227</v>
      </c>
      <c r="AF44" s="200"/>
    </row>
    <row r="45" spans="2:32" x14ac:dyDescent="0.85">
      <c r="B45" s="282"/>
      <c r="C45" s="201" t="s">
        <v>228</v>
      </c>
      <c r="D45" s="202">
        <v>0.01</v>
      </c>
      <c r="E45" s="61">
        <v>0.52</v>
      </c>
      <c r="F45" s="203">
        <v>0.8</v>
      </c>
      <c r="G45" s="203">
        <v>1</v>
      </c>
      <c r="H45" s="203">
        <v>7.9</v>
      </c>
      <c r="I45" s="202">
        <v>243</v>
      </c>
      <c r="J45" s="61">
        <v>360</v>
      </c>
      <c r="K45" s="203">
        <v>373</v>
      </c>
      <c r="L45" s="203">
        <v>414</v>
      </c>
      <c r="M45" s="203">
        <v>527</v>
      </c>
      <c r="N45" s="202">
        <v>7</v>
      </c>
      <c r="O45" s="61">
        <v>43</v>
      </c>
      <c r="P45" s="203">
        <v>62</v>
      </c>
      <c r="Q45" s="203">
        <v>95</v>
      </c>
      <c r="R45" s="203">
        <v>166</v>
      </c>
      <c r="S45" s="202">
        <v>0.01</v>
      </c>
      <c r="T45" s="139">
        <v>1.7500000000000002E-2</v>
      </c>
      <c r="U45" s="137">
        <v>2.1999999999999999E-2</v>
      </c>
      <c r="V45" s="137">
        <v>2.4250000000000001E-2</v>
      </c>
      <c r="W45" s="137">
        <v>2.5000000000000001E-2</v>
      </c>
      <c r="X45" s="202">
        <v>307</v>
      </c>
      <c r="Y45" s="61">
        <v>415.5</v>
      </c>
      <c r="Z45" s="203">
        <v>450</v>
      </c>
      <c r="AA45" s="203">
        <v>488.5</v>
      </c>
      <c r="AB45" s="203">
        <v>682</v>
      </c>
      <c r="AC45" s="204"/>
      <c r="AD45" s="205"/>
      <c r="AE45" s="206" t="s">
        <v>227</v>
      </c>
      <c r="AF45" s="55"/>
    </row>
    <row r="46" spans="2:32" x14ac:dyDescent="0.85">
      <c r="B46" s="282"/>
      <c r="C46" s="201" t="s">
        <v>229</v>
      </c>
      <c r="D46" s="202">
        <v>0.01</v>
      </c>
      <c r="E46" s="61">
        <v>7.4999999999999997E-2</v>
      </c>
      <c r="F46" s="203">
        <v>0.14000000000000001</v>
      </c>
      <c r="G46" s="203">
        <v>0.17</v>
      </c>
      <c r="H46" s="137">
        <v>0.2</v>
      </c>
      <c r="I46" s="202">
        <v>400</v>
      </c>
      <c r="J46" s="61">
        <v>505</v>
      </c>
      <c r="K46" s="203">
        <v>535</v>
      </c>
      <c r="L46" s="203">
        <v>560</v>
      </c>
      <c r="M46" s="203">
        <v>820</v>
      </c>
      <c r="N46" s="202">
        <v>14</v>
      </c>
      <c r="O46" s="121">
        <v>37.5</v>
      </c>
      <c r="P46" s="203">
        <v>70</v>
      </c>
      <c r="Q46" s="207">
        <v>89.5</v>
      </c>
      <c r="R46" s="203">
        <v>157</v>
      </c>
      <c r="S46" s="86">
        <v>2E-3</v>
      </c>
      <c r="T46" s="61">
        <v>2.2500000000000003E-3</v>
      </c>
      <c r="U46" s="208">
        <v>2.5000000000000001E-3</v>
      </c>
      <c r="V46" s="208">
        <v>2.7499999999999998E-3</v>
      </c>
      <c r="W46" s="208">
        <v>3.0000000000000001E-3</v>
      </c>
      <c r="X46" s="86">
        <v>488</v>
      </c>
      <c r="Y46" s="61">
        <v>550.5</v>
      </c>
      <c r="Z46" s="87">
        <v>604.5</v>
      </c>
      <c r="AA46" s="90">
        <v>654.25</v>
      </c>
      <c r="AB46" s="87">
        <v>988</v>
      </c>
      <c r="AC46" s="88"/>
      <c r="AD46" s="89"/>
      <c r="AE46" s="206" t="s">
        <v>227</v>
      </c>
      <c r="AF46" s="55"/>
    </row>
    <row r="47" spans="2:32" x14ac:dyDescent="0.85">
      <c r="B47" s="282"/>
      <c r="C47" s="201" t="s">
        <v>230</v>
      </c>
      <c r="D47" s="202">
        <v>0.64</v>
      </c>
      <c r="E47" s="61">
        <v>0.64</v>
      </c>
      <c r="F47" s="203">
        <v>0.64</v>
      </c>
      <c r="G47" s="203">
        <v>0.64</v>
      </c>
      <c r="H47" s="203">
        <v>0.64</v>
      </c>
      <c r="I47" s="209">
        <v>43</v>
      </c>
      <c r="J47" s="121">
        <v>47</v>
      </c>
      <c r="K47" s="207">
        <v>47</v>
      </c>
      <c r="L47" s="207">
        <v>65</v>
      </c>
      <c r="M47" s="207">
        <v>98</v>
      </c>
      <c r="N47" s="209">
        <v>51</v>
      </c>
      <c r="O47" s="121">
        <v>63</v>
      </c>
      <c r="P47" s="207">
        <v>80.5</v>
      </c>
      <c r="Q47" s="207">
        <v>112.25</v>
      </c>
      <c r="R47" s="207">
        <v>147</v>
      </c>
      <c r="S47" s="84" t="s">
        <v>170</v>
      </c>
      <c r="T47" s="210" t="s">
        <v>170</v>
      </c>
      <c r="U47" s="85" t="s">
        <v>170</v>
      </c>
      <c r="V47" s="85" t="s">
        <v>170</v>
      </c>
      <c r="W47" s="85" t="s">
        <v>170</v>
      </c>
      <c r="X47" s="86">
        <v>65</v>
      </c>
      <c r="Y47" s="61">
        <v>96</v>
      </c>
      <c r="Z47" s="87">
        <v>111</v>
      </c>
      <c r="AA47" s="87">
        <v>141</v>
      </c>
      <c r="AB47" s="87">
        <v>245</v>
      </c>
      <c r="AC47" s="88"/>
      <c r="AD47" s="89"/>
      <c r="AE47" s="206" t="s">
        <v>227</v>
      </c>
      <c r="AF47" s="55"/>
    </row>
    <row r="48" spans="2:32" x14ac:dyDescent="0.85">
      <c r="B48" s="282"/>
      <c r="C48" s="201" t="s">
        <v>231</v>
      </c>
      <c r="D48" s="202">
        <v>1.2</v>
      </c>
      <c r="E48" s="127">
        <v>1.6</v>
      </c>
      <c r="F48" s="136">
        <v>2</v>
      </c>
      <c r="G48" s="136">
        <v>2.35</v>
      </c>
      <c r="H48" s="203">
        <v>2.7</v>
      </c>
      <c r="I48" s="202">
        <v>105</v>
      </c>
      <c r="J48" s="61">
        <v>365</v>
      </c>
      <c r="K48" s="203">
        <v>371</v>
      </c>
      <c r="L48" s="203">
        <v>400.5</v>
      </c>
      <c r="M48" s="203">
        <v>507</v>
      </c>
      <c r="N48" s="202">
        <v>15</v>
      </c>
      <c r="O48" s="61">
        <v>63</v>
      </c>
      <c r="P48" s="203">
        <v>92</v>
      </c>
      <c r="Q48" s="203">
        <v>124.75</v>
      </c>
      <c r="R48" s="203">
        <v>169</v>
      </c>
      <c r="S48" s="84" t="s">
        <v>170</v>
      </c>
      <c r="T48" s="210" t="s">
        <v>170</v>
      </c>
      <c r="U48" s="85" t="s">
        <v>170</v>
      </c>
      <c r="V48" s="85" t="s">
        <v>170</v>
      </c>
      <c r="W48" s="85" t="s">
        <v>170</v>
      </c>
      <c r="X48" s="202">
        <v>428</v>
      </c>
      <c r="Y48" s="61">
        <v>444</v>
      </c>
      <c r="Z48" s="203">
        <v>501</v>
      </c>
      <c r="AA48" s="203">
        <v>520.25</v>
      </c>
      <c r="AB48" s="203">
        <v>540</v>
      </c>
      <c r="AC48" s="204"/>
      <c r="AD48" s="205"/>
      <c r="AE48" s="206" t="s">
        <v>227</v>
      </c>
      <c r="AF48" s="55"/>
    </row>
    <row r="49" spans="2:32" x14ac:dyDescent="0.85">
      <c r="B49" s="282"/>
      <c r="C49" s="201" t="s">
        <v>232</v>
      </c>
      <c r="D49" s="202">
        <v>2.1</v>
      </c>
      <c r="E49" s="127">
        <v>2.2999999999999998</v>
      </c>
      <c r="F49" s="203">
        <v>2.5</v>
      </c>
      <c r="G49" s="203">
        <v>2.7</v>
      </c>
      <c r="H49" s="203">
        <v>2.9</v>
      </c>
      <c r="I49" s="202">
        <v>478</v>
      </c>
      <c r="J49" s="61">
        <v>488.5</v>
      </c>
      <c r="K49" s="203">
        <v>499</v>
      </c>
      <c r="L49" s="203">
        <v>574</v>
      </c>
      <c r="M49" s="203">
        <v>649</v>
      </c>
      <c r="N49" s="202">
        <v>127</v>
      </c>
      <c r="O49" s="61">
        <v>152</v>
      </c>
      <c r="P49" s="203">
        <v>177</v>
      </c>
      <c r="Q49" s="203">
        <v>202</v>
      </c>
      <c r="R49" s="203">
        <v>227</v>
      </c>
      <c r="S49" s="84" t="s">
        <v>170</v>
      </c>
      <c r="T49" s="210" t="s">
        <v>170</v>
      </c>
      <c r="U49" s="85" t="s">
        <v>170</v>
      </c>
      <c r="V49" s="85" t="s">
        <v>170</v>
      </c>
      <c r="W49" s="85" t="s">
        <v>170</v>
      </c>
      <c r="X49" s="202">
        <v>608</v>
      </c>
      <c r="Y49" s="61">
        <v>629.5</v>
      </c>
      <c r="Z49" s="203">
        <v>651</v>
      </c>
      <c r="AA49" s="203">
        <v>688.5</v>
      </c>
      <c r="AB49" s="203">
        <v>726</v>
      </c>
      <c r="AC49" s="204"/>
      <c r="AD49" s="205"/>
      <c r="AE49" s="206" t="s">
        <v>227</v>
      </c>
      <c r="AF49" s="55"/>
    </row>
    <row r="50" spans="2:32" x14ac:dyDescent="0.85">
      <c r="B50" s="282"/>
      <c r="C50" s="211" t="s">
        <v>233</v>
      </c>
      <c r="D50" s="116"/>
      <c r="E50" s="68"/>
      <c r="F50" s="68"/>
      <c r="G50" s="68"/>
      <c r="H50" s="68"/>
      <c r="I50" s="116"/>
      <c r="J50" s="68"/>
      <c r="K50" s="114"/>
      <c r="L50" s="68"/>
      <c r="M50" s="68"/>
      <c r="N50" s="116"/>
      <c r="O50" s="68"/>
      <c r="P50" s="68"/>
      <c r="Q50" s="68"/>
      <c r="R50" s="68"/>
      <c r="S50" s="116"/>
      <c r="T50" s="68"/>
      <c r="U50" s="68"/>
      <c r="V50" s="68"/>
      <c r="W50" s="68"/>
      <c r="X50" s="113"/>
      <c r="Y50" s="114"/>
      <c r="Z50" s="114"/>
      <c r="AA50" s="114"/>
      <c r="AB50" s="114"/>
      <c r="AC50" s="212"/>
      <c r="AD50" s="213"/>
      <c r="AE50" s="81"/>
      <c r="AF50" s="55"/>
    </row>
    <row r="51" spans="2:32" x14ac:dyDescent="0.85">
      <c r="B51" s="282"/>
      <c r="C51" s="201" t="s">
        <v>234</v>
      </c>
      <c r="D51" s="214" t="s">
        <v>170</v>
      </c>
      <c r="E51" s="83" t="s">
        <v>170</v>
      </c>
      <c r="F51" s="83" t="s">
        <v>170</v>
      </c>
      <c r="G51" s="83" t="s">
        <v>170</v>
      </c>
      <c r="H51" s="83" t="s">
        <v>170</v>
      </c>
      <c r="I51" s="214" t="s">
        <v>170</v>
      </c>
      <c r="J51" s="83" t="s">
        <v>170</v>
      </c>
      <c r="K51" s="87">
        <v>360</v>
      </c>
      <c r="L51" s="83" t="s">
        <v>170</v>
      </c>
      <c r="M51" s="83" t="s">
        <v>170</v>
      </c>
      <c r="N51" s="214" t="s">
        <v>170</v>
      </c>
      <c r="O51" s="83" t="s">
        <v>170</v>
      </c>
      <c r="P51" s="83" t="s">
        <v>170</v>
      </c>
      <c r="Q51" s="83" t="s">
        <v>170</v>
      </c>
      <c r="R51" s="83" t="s">
        <v>170</v>
      </c>
      <c r="S51" s="214" t="s">
        <v>170</v>
      </c>
      <c r="T51" s="83" t="s">
        <v>170</v>
      </c>
      <c r="U51" s="83" t="s">
        <v>170</v>
      </c>
      <c r="V51" s="83" t="s">
        <v>170</v>
      </c>
      <c r="W51" s="83" t="s">
        <v>170</v>
      </c>
      <c r="X51" s="86">
        <f>MIN(758,554,488,488,486,602,499,437,466)</f>
        <v>437</v>
      </c>
      <c r="Y51" s="87">
        <f>QUARTILE({758,554,488,488,486,602,499,437,466},1)</f>
        <v>486</v>
      </c>
      <c r="Z51" s="87">
        <v>488</v>
      </c>
      <c r="AA51" s="87">
        <f>QUARTILE({758,554,488,488,486,602,499,437,466},3)</f>
        <v>554</v>
      </c>
      <c r="AB51" s="87">
        <f>MAX(758,554,488,488,486,602,499,437,466)</f>
        <v>758</v>
      </c>
      <c r="AC51" s="88"/>
      <c r="AD51" s="89"/>
      <c r="AE51" s="64" t="s">
        <v>235</v>
      </c>
      <c r="AF51" s="55"/>
    </row>
    <row r="52" spans="2:32" x14ac:dyDescent="0.85">
      <c r="B52" s="282"/>
      <c r="C52" s="201" t="s">
        <v>236</v>
      </c>
      <c r="D52" s="214" t="s">
        <v>170</v>
      </c>
      <c r="E52" s="83" t="s">
        <v>170</v>
      </c>
      <c r="F52" s="83" t="s">
        <v>170</v>
      </c>
      <c r="G52" s="83" t="s">
        <v>170</v>
      </c>
      <c r="H52" s="83" t="s">
        <v>170</v>
      </c>
      <c r="I52" s="214" t="s">
        <v>170</v>
      </c>
      <c r="J52" s="83" t="s">
        <v>170</v>
      </c>
      <c r="K52" s="87">
        <v>360</v>
      </c>
      <c r="L52" s="83" t="s">
        <v>170</v>
      </c>
      <c r="M52" s="83" t="s">
        <v>170</v>
      </c>
      <c r="N52" s="214" t="s">
        <v>170</v>
      </c>
      <c r="O52" s="83" t="s">
        <v>170</v>
      </c>
      <c r="P52" s="83" t="s">
        <v>170</v>
      </c>
      <c r="Q52" s="83" t="s">
        <v>170</v>
      </c>
      <c r="R52" s="83" t="s">
        <v>170</v>
      </c>
      <c r="S52" s="214" t="s">
        <v>170</v>
      </c>
      <c r="T52" s="83" t="s">
        <v>170</v>
      </c>
      <c r="U52" s="83" t="s">
        <v>170</v>
      </c>
      <c r="V52" s="83" t="s">
        <v>170</v>
      </c>
      <c r="W52" s="83" t="s">
        <v>170</v>
      </c>
      <c r="X52" s="86">
        <v>529</v>
      </c>
      <c r="Y52" s="87">
        <v>529</v>
      </c>
      <c r="Z52" s="87">
        <v>529</v>
      </c>
      <c r="AA52" s="87">
        <v>529</v>
      </c>
      <c r="AB52" s="87">
        <v>529</v>
      </c>
      <c r="AC52" s="88"/>
      <c r="AD52" s="89"/>
      <c r="AE52" s="64" t="s">
        <v>235</v>
      </c>
      <c r="AF52" s="55"/>
    </row>
    <row r="53" spans="2:32" x14ac:dyDescent="0.85">
      <c r="B53" s="282"/>
      <c r="C53" s="201" t="s">
        <v>237</v>
      </c>
      <c r="D53" s="214" t="s">
        <v>170</v>
      </c>
      <c r="E53" s="83" t="s">
        <v>170</v>
      </c>
      <c r="F53" s="83" t="s">
        <v>170</v>
      </c>
      <c r="G53" s="83" t="s">
        <v>170</v>
      </c>
      <c r="H53" s="83" t="s">
        <v>170</v>
      </c>
      <c r="I53" s="214" t="s">
        <v>170</v>
      </c>
      <c r="J53" s="83" t="s">
        <v>170</v>
      </c>
      <c r="K53" s="87">
        <v>360</v>
      </c>
      <c r="L53" s="83" t="s">
        <v>170</v>
      </c>
      <c r="M53" s="83" t="s">
        <v>170</v>
      </c>
      <c r="N53" s="214" t="s">
        <v>170</v>
      </c>
      <c r="O53" s="83" t="s">
        <v>170</v>
      </c>
      <c r="P53" s="83" t="s">
        <v>170</v>
      </c>
      <c r="Q53" s="83" t="s">
        <v>170</v>
      </c>
      <c r="R53" s="83" t="s">
        <v>170</v>
      </c>
      <c r="S53" s="214" t="s">
        <v>170</v>
      </c>
      <c r="T53" s="83" t="s">
        <v>170</v>
      </c>
      <c r="U53" s="83" t="s">
        <v>170</v>
      </c>
      <c r="V53" s="83" t="s">
        <v>170</v>
      </c>
      <c r="W53" s="83" t="s">
        <v>170</v>
      </c>
      <c r="X53" s="86">
        <v>473</v>
      </c>
      <c r="Y53" s="87">
        <v>473</v>
      </c>
      <c r="Z53" s="87">
        <v>473</v>
      </c>
      <c r="AA53" s="87">
        <v>473</v>
      </c>
      <c r="AB53" s="87">
        <v>473</v>
      </c>
      <c r="AC53" s="88"/>
      <c r="AD53" s="89"/>
      <c r="AE53" s="64" t="s">
        <v>235</v>
      </c>
      <c r="AF53" s="55"/>
    </row>
    <row r="54" spans="2:32" x14ac:dyDescent="0.85">
      <c r="B54" s="282"/>
      <c r="C54" s="201" t="s">
        <v>238</v>
      </c>
      <c r="D54" s="214" t="s">
        <v>170</v>
      </c>
      <c r="E54" s="83" t="s">
        <v>170</v>
      </c>
      <c r="F54" s="83" t="s">
        <v>170</v>
      </c>
      <c r="G54" s="83" t="s">
        <v>170</v>
      </c>
      <c r="H54" s="83" t="s">
        <v>170</v>
      </c>
      <c r="I54" s="214" t="s">
        <v>170</v>
      </c>
      <c r="J54" s="83" t="s">
        <v>170</v>
      </c>
      <c r="K54" s="87">
        <v>360</v>
      </c>
      <c r="L54" s="83" t="s">
        <v>170</v>
      </c>
      <c r="M54" s="83" t="s">
        <v>170</v>
      </c>
      <c r="N54" s="214" t="s">
        <v>170</v>
      </c>
      <c r="O54" s="83" t="s">
        <v>170</v>
      </c>
      <c r="P54" s="83" t="s">
        <v>170</v>
      </c>
      <c r="Q54" s="83" t="s">
        <v>170</v>
      </c>
      <c r="R54" s="83" t="s">
        <v>170</v>
      </c>
      <c r="S54" s="214" t="s">
        <v>170</v>
      </c>
      <c r="T54" s="83" t="s">
        <v>170</v>
      </c>
      <c r="U54" s="83" t="s">
        <v>170</v>
      </c>
      <c r="V54" s="83" t="s">
        <v>170</v>
      </c>
      <c r="W54" s="83" t="s">
        <v>170</v>
      </c>
      <c r="X54" s="86">
        <v>450</v>
      </c>
      <c r="Y54" s="87">
        <v>469</v>
      </c>
      <c r="Z54" s="87">
        <v>471</v>
      </c>
      <c r="AA54" s="87">
        <v>489</v>
      </c>
      <c r="AB54" s="87">
        <v>671</v>
      </c>
      <c r="AC54" s="88"/>
      <c r="AD54" s="89"/>
      <c r="AE54" s="64" t="s">
        <v>235</v>
      </c>
      <c r="AF54" s="55"/>
    </row>
    <row r="55" spans="2:32" x14ac:dyDescent="0.85">
      <c r="B55" s="282"/>
      <c r="C55" s="112" t="s">
        <v>239</v>
      </c>
      <c r="D55" s="116" t="s">
        <v>170</v>
      </c>
      <c r="E55" s="68" t="s">
        <v>170</v>
      </c>
      <c r="F55" s="68" t="s">
        <v>170</v>
      </c>
      <c r="G55" s="68" t="s">
        <v>170</v>
      </c>
      <c r="H55" s="68" t="s">
        <v>170</v>
      </c>
      <c r="I55" s="116" t="s">
        <v>170</v>
      </c>
      <c r="J55" s="68" t="s">
        <v>170</v>
      </c>
      <c r="K55" s="68" t="s">
        <v>170</v>
      </c>
      <c r="L55" s="68" t="s">
        <v>170</v>
      </c>
      <c r="M55" s="68" t="s">
        <v>170</v>
      </c>
      <c r="N55" s="116" t="s">
        <v>170</v>
      </c>
      <c r="O55" s="68" t="s">
        <v>170</v>
      </c>
      <c r="P55" s="68" t="s">
        <v>170</v>
      </c>
      <c r="Q55" s="68" t="s">
        <v>170</v>
      </c>
      <c r="R55" s="68" t="s">
        <v>170</v>
      </c>
      <c r="S55" s="116" t="s">
        <v>170</v>
      </c>
      <c r="T55" s="68" t="s">
        <v>170</v>
      </c>
      <c r="U55" s="68" t="s">
        <v>170</v>
      </c>
      <c r="V55" s="68" t="s">
        <v>170</v>
      </c>
      <c r="W55" s="68" t="s">
        <v>170</v>
      </c>
      <c r="X55" s="215">
        <v>510</v>
      </c>
      <c r="Y55" s="72">
        <v>722</v>
      </c>
      <c r="Z55" s="216">
        <v>840</v>
      </c>
      <c r="AA55" s="216">
        <v>907</v>
      </c>
      <c r="AB55" s="216">
        <v>1170</v>
      </c>
      <c r="AC55" s="217">
        <v>10</v>
      </c>
      <c r="AD55" s="218">
        <v>24</v>
      </c>
      <c r="AE55" s="119" t="s">
        <v>209</v>
      </c>
      <c r="AF55" s="55"/>
    </row>
    <row r="56" spans="2:32" x14ac:dyDescent="0.85">
      <c r="B56" s="282"/>
      <c r="C56" s="211" t="s">
        <v>240</v>
      </c>
      <c r="D56" s="116" t="s">
        <v>170</v>
      </c>
      <c r="E56" s="68" t="s">
        <v>170</v>
      </c>
      <c r="F56" s="114" t="s">
        <v>241</v>
      </c>
      <c r="G56" s="68" t="s">
        <v>170</v>
      </c>
      <c r="H56" s="68" t="s">
        <v>170</v>
      </c>
      <c r="I56" s="116" t="s">
        <v>170</v>
      </c>
      <c r="J56" s="68" t="s">
        <v>170</v>
      </c>
      <c r="K56" s="114">
        <v>1010</v>
      </c>
      <c r="L56" s="68" t="s">
        <v>170</v>
      </c>
      <c r="M56" s="68" t="s">
        <v>170</v>
      </c>
      <c r="N56" s="116" t="s">
        <v>170</v>
      </c>
      <c r="O56" s="68" t="s">
        <v>170</v>
      </c>
      <c r="P56" s="114">
        <v>10</v>
      </c>
      <c r="Q56" s="68" t="s">
        <v>170</v>
      </c>
      <c r="R56" s="68" t="s">
        <v>170</v>
      </c>
      <c r="S56" s="116" t="s">
        <v>170</v>
      </c>
      <c r="T56" s="68" t="s">
        <v>170</v>
      </c>
      <c r="U56" s="114" t="s">
        <v>241</v>
      </c>
      <c r="V56" s="68" t="s">
        <v>170</v>
      </c>
      <c r="W56" s="68" t="s">
        <v>170</v>
      </c>
      <c r="X56" s="113">
        <v>675</v>
      </c>
      <c r="Y56" s="114">
        <v>891</v>
      </c>
      <c r="Z56" s="114">
        <v>1001</v>
      </c>
      <c r="AA56" s="114">
        <v>1134</v>
      </c>
      <c r="AB56" s="114">
        <v>1689</v>
      </c>
      <c r="AC56" s="212" t="s">
        <v>242</v>
      </c>
      <c r="AD56" s="213" t="s">
        <v>243</v>
      </c>
      <c r="AE56" s="81" t="s">
        <v>244</v>
      </c>
      <c r="AF56" s="219"/>
    </row>
    <row r="57" spans="2:32" x14ac:dyDescent="0.85">
      <c r="B57" s="282"/>
      <c r="C57" s="57" t="s">
        <v>245</v>
      </c>
      <c r="D57" s="58" t="s">
        <v>170</v>
      </c>
      <c r="E57" s="83" t="s">
        <v>170</v>
      </c>
      <c r="F57" s="87" t="s">
        <v>241</v>
      </c>
      <c r="G57" s="83" t="s">
        <v>170</v>
      </c>
      <c r="H57" s="83" t="s">
        <v>170</v>
      </c>
      <c r="I57" s="58" t="s">
        <v>170</v>
      </c>
      <c r="J57" s="83" t="s">
        <v>170</v>
      </c>
      <c r="K57" s="87">
        <v>1150</v>
      </c>
      <c r="L57" s="83" t="s">
        <v>170</v>
      </c>
      <c r="M57" s="83" t="s">
        <v>170</v>
      </c>
      <c r="N57" s="58" t="s">
        <v>170</v>
      </c>
      <c r="O57" s="83" t="s">
        <v>170</v>
      </c>
      <c r="P57" s="87" t="s">
        <v>241</v>
      </c>
      <c r="Q57" s="83" t="s">
        <v>170</v>
      </c>
      <c r="R57" s="83" t="s">
        <v>170</v>
      </c>
      <c r="S57" s="58" t="s">
        <v>170</v>
      </c>
      <c r="T57" s="83" t="s">
        <v>170</v>
      </c>
      <c r="U57" s="87" t="s">
        <v>241</v>
      </c>
      <c r="V57" s="83" t="s">
        <v>170</v>
      </c>
      <c r="W57" s="83" t="s">
        <v>170</v>
      </c>
      <c r="X57" s="60">
        <v>714</v>
      </c>
      <c r="Y57" s="61">
        <v>980</v>
      </c>
      <c r="Z57" s="61">
        <v>1060</v>
      </c>
      <c r="AA57" s="61">
        <v>1196</v>
      </c>
      <c r="AB57" s="61">
        <v>1689</v>
      </c>
      <c r="AC57" s="62"/>
      <c r="AD57" s="63"/>
      <c r="AE57" s="124" t="s">
        <v>244</v>
      </c>
      <c r="AF57" s="55"/>
    </row>
    <row r="58" spans="2:32" x14ac:dyDescent="0.85">
      <c r="B58" s="282"/>
      <c r="C58" s="57" t="s">
        <v>246</v>
      </c>
      <c r="D58" s="58" t="s">
        <v>170</v>
      </c>
      <c r="E58" s="83" t="s">
        <v>170</v>
      </c>
      <c r="F58" s="87" t="s">
        <v>241</v>
      </c>
      <c r="G58" s="83" t="s">
        <v>170</v>
      </c>
      <c r="H58" s="83" t="s">
        <v>170</v>
      </c>
      <c r="I58" s="58" t="s">
        <v>170</v>
      </c>
      <c r="J58" s="83" t="s">
        <v>170</v>
      </c>
      <c r="K58" s="87">
        <v>790</v>
      </c>
      <c r="L58" s="83" t="s">
        <v>170</v>
      </c>
      <c r="M58" s="83" t="s">
        <v>170</v>
      </c>
      <c r="N58" s="58" t="s">
        <v>170</v>
      </c>
      <c r="O58" s="83" t="s">
        <v>170</v>
      </c>
      <c r="P58" s="87">
        <v>190</v>
      </c>
      <c r="Q58" s="83" t="s">
        <v>170</v>
      </c>
      <c r="R58" s="83" t="s">
        <v>170</v>
      </c>
      <c r="S58" s="58" t="s">
        <v>170</v>
      </c>
      <c r="T58" s="83" t="s">
        <v>170</v>
      </c>
      <c r="U58" s="87" t="s">
        <v>241</v>
      </c>
      <c r="V58" s="83" t="s">
        <v>170</v>
      </c>
      <c r="W58" s="83" t="s">
        <v>170</v>
      </c>
      <c r="X58" s="86">
        <v>675</v>
      </c>
      <c r="Y58" s="87">
        <v>759</v>
      </c>
      <c r="Z58" s="87">
        <v>838</v>
      </c>
      <c r="AA58" s="87">
        <v>888</v>
      </c>
      <c r="AB58" s="220">
        <v>1130</v>
      </c>
      <c r="AC58" s="221"/>
      <c r="AD58" s="222"/>
      <c r="AE58" s="124" t="s">
        <v>244</v>
      </c>
      <c r="AF58" s="55"/>
    </row>
    <row r="59" spans="2:32" x14ac:dyDescent="0.85">
      <c r="B59" s="282"/>
      <c r="C59" s="57" t="s">
        <v>247</v>
      </c>
      <c r="D59" s="58" t="s">
        <v>170</v>
      </c>
      <c r="E59" s="83" t="s">
        <v>170</v>
      </c>
      <c r="F59" s="87">
        <v>5</v>
      </c>
      <c r="G59" s="83" t="s">
        <v>170</v>
      </c>
      <c r="H59" s="83" t="s">
        <v>170</v>
      </c>
      <c r="I59" s="58" t="s">
        <v>170</v>
      </c>
      <c r="J59" s="83" t="s">
        <v>170</v>
      </c>
      <c r="K59" s="87">
        <v>1010</v>
      </c>
      <c r="L59" s="83" t="s">
        <v>170</v>
      </c>
      <c r="M59" s="83" t="s">
        <v>170</v>
      </c>
      <c r="N59" s="58" t="s">
        <v>170</v>
      </c>
      <c r="O59" s="83" t="s">
        <v>170</v>
      </c>
      <c r="P59" s="87">
        <v>30</v>
      </c>
      <c r="Q59" s="83" t="s">
        <v>170</v>
      </c>
      <c r="R59" s="83" t="s">
        <v>170</v>
      </c>
      <c r="S59" s="58" t="s">
        <v>170</v>
      </c>
      <c r="T59" s="83" t="s">
        <v>170</v>
      </c>
      <c r="U59" s="87" t="s">
        <v>241</v>
      </c>
      <c r="V59" s="83" t="s">
        <v>170</v>
      </c>
      <c r="W59" s="83" t="s">
        <v>170</v>
      </c>
      <c r="X59" s="60">
        <v>771</v>
      </c>
      <c r="Y59" s="87">
        <v>960</v>
      </c>
      <c r="Z59" s="87">
        <v>993</v>
      </c>
      <c r="AA59" s="61">
        <v>1053</v>
      </c>
      <c r="AB59" s="61">
        <v>1249</v>
      </c>
      <c r="AC59" s="62"/>
      <c r="AD59" s="63"/>
      <c r="AE59" s="124" t="s">
        <v>244</v>
      </c>
      <c r="AF59" s="55"/>
    </row>
    <row r="60" spans="2:32" ht="15.25" thickBot="1" x14ac:dyDescent="1">
      <c r="B60" s="282"/>
      <c r="C60" s="223" t="s">
        <v>248</v>
      </c>
      <c r="D60" s="186" t="s">
        <v>170</v>
      </c>
      <c r="E60" s="193" t="s">
        <v>170</v>
      </c>
      <c r="F60" s="189">
        <v>6</v>
      </c>
      <c r="G60" s="193" t="s">
        <v>170</v>
      </c>
      <c r="H60" s="193" t="s">
        <v>170</v>
      </c>
      <c r="I60" s="186" t="s">
        <v>170</v>
      </c>
      <c r="J60" s="193" t="s">
        <v>170</v>
      </c>
      <c r="K60" s="189">
        <v>880</v>
      </c>
      <c r="L60" s="193" t="s">
        <v>170</v>
      </c>
      <c r="M60" s="193" t="s">
        <v>170</v>
      </c>
      <c r="N60" s="186" t="s">
        <v>170</v>
      </c>
      <c r="O60" s="193" t="s">
        <v>170</v>
      </c>
      <c r="P60" s="193" t="s">
        <v>170</v>
      </c>
      <c r="Q60" s="193" t="s">
        <v>170</v>
      </c>
      <c r="R60" s="193" t="s">
        <v>170</v>
      </c>
      <c r="S60" s="186" t="s">
        <v>170</v>
      </c>
      <c r="T60" s="193" t="s">
        <v>170</v>
      </c>
      <c r="U60" s="193" t="s">
        <v>170</v>
      </c>
      <c r="V60" s="193" t="s">
        <v>170</v>
      </c>
      <c r="W60" s="193" t="s">
        <v>170</v>
      </c>
      <c r="X60" s="224">
        <v>687</v>
      </c>
      <c r="Y60" s="225">
        <v>781</v>
      </c>
      <c r="Z60" s="225">
        <v>863</v>
      </c>
      <c r="AA60" s="225">
        <v>922</v>
      </c>
      <c r="AB60" s="225">
        <v>1059</v>
      </c>
      <c r="AC60" s="190"/>
      <c r="AD60" s="191"/>
      <c r="AE60" s="226" t="s">
        <v>244</v>
      </c>
      <c r="AF60" s="219"/>
    </row>
    <row r="61" spans="2:32" x14ac:dyDescent="0.85">
      <c r="B61" s="283" t="s">
        <v>6</v>
      </c>
      <c r="C61" s="227" t="s">
        <v>249</v>
      </c>
      <c r="D61" s="228">
        <v>2.8311111113376003E-2</v>
      </c>
      <c r="E61" s="229">
        <v>2.6484018264840183</v>
      </c>
      <c r="F61" s="229">
        <v>2.9794520547945207</v>
      </c>
      <c r="G61" s="229">
        <v>4.1512160099999997</v>
      </c>
      <c r="H61" s="230">
        <v>50.508492544885918</v>
      </c>
      <c r="I61" s="48" t="s">
        <v>179</v>
      </c>
      <c r="J61" s="49" t="s">
        <v>179</v>
      </c>
      <c r="K61" s="49" t="s">
        <v>179</v>
      </c>
      <c r="L61" s="49" t="s">
        <v>179</v>
      </c>
      <c r="M61" s="231" t="s">
        <v>179</v>
      </c>
      <c r="N61" s="232">
        <v>0.77332246999999998</v>
      </c>
      <c r="O61" s="233">
        <v>1.8</v>
      </c>
      <c r="P61" s="233">
        <v>1.8</v>
      </c>
      <c r="Q61" s="233">
        <v>1.8</v>
      </c>
      <c r="R61" s="234">
        <v>373.24444447430403</v>
      </c>
      <c r="S61" s="228">
        <v>1.7275555556937602E-2</v>
      </c>
      <c r="T61" s="235">
        <v>6.0882800608828003E-2</v>
      </c>
      <c r="U61" s="235">
        <v>6.8493150684931503E-2</v>
      </c>
      <c r="V61" s="235">
        <v>7.7328882709284619E-2</v>
      </c>
      <c r="W61" s="236">
        <v>1.1611147711468028</v>
      </c>
      <c r="X61" s="237">
        <v>4.5092846270928462</v>
      </c>
      <c r="Y61" s="238">
        <v>4.802911126425168</v>
      </c>
      <c r="Z61" s="238">
        <v>7.3878995433789951</v>
      </c>
      <c r="AA61" s="239">
        <v>88.734206670690739</v>
      </c>
      <c r="AB61" s="239">
        <v>607.8334000000001</v>
      </c>
      <c r="AC61" s="239">
        <v>4</v>
      </c>
      <c r="AD61" s="240">
        <v>16</v>
      </c>
      <c r="AE61" s="241" t="s">
        <v>204</v>
      </c>
      <c r="AF61" s="55" t="s">
        <v>205</v>
      </c>
    </row>
    <row r="62" spans="2:32" ht="42.45" x14ac:dyDescent="0.85">
      <c r="B62" s="284"/>
      <c r="C62" s="242" t="s">
        <v>250</v>
      </c>
      <c r="D62" s="243">
        <v>17.674409075642938</v>
      </c>
      <c r="E62" s="244">
        <v>27.706072625423314</v>
      </c>
      <c r="F62" s="244">
        <v>31.547370412125535</v>
      </c>
      <c r="G62" s="245">
        <v>49</v>
      </c>
      <c r="H62" s="246">
        <v>82</v>
      </c>
      <c r="I62" s="69" t="s">
        <v>179</v>
      </c>
      <c r="J62" s="70" t="s">
        <v>179</v>
      </c>
      <c r="K62" s="70" t="s">
        <v>179</v>
      </c>
      <c r="L62" s="70" t="s">
        <v>179</v>
      </c>
      <c r="M62" s="247" t="s">
        <v>179</v>
      </c>
      <c r="N62" s="116" t="s">
        <v>170</v>
      </c>
      <c r="O62" s="68" t="s">
        <v>170</v>
      </c>
      <c r="P62" s="68" t="s">
        <v>170</v>
      </c>
      <c r="Q62" s="68" t="s">
        <v>170</v>
      </c>
      <c r="R62" s="248" t="s">
        <v>170</v>
      </c>
      <c r="S62" s="216">
        <v>3.4</v>
      </c>
      <c r="T62" s="216">
        <v>3.4</v>
      </c>
      <c r="U62" s="216">
        <v>3.4</v>
      </c>
      <c r="V62" s="216">
        <v>3.4</v>
      </c>
      <c r="W62" s="216">
        <v>3.4</v>
      </c>
      <c r="X62" s="152">
        <v>17.674409075642938</v>
      </c>
      <c r="Y62" s="129">
        <v>28.19613470321152</v>
      </c>
      <c r="Z62" s="129">
        <v>32.889621666768804</v>
      </c>
      <c r="AA62" s="115">
        <v>49</v>
      </c>
      <c r="AB62" s="115">
        <v>82</v>
      </c>
      <c r="AC62" s="115">
        <v>3</v>
      </c>
      <c r="AD62" s="134">
        <v>29</v>
      </c>
      <c r="AE62" s="249" t="s">
        <v>251</v>
      </c>
      <c r="AF62" s="55" t="s">
        <v>252</v>
      </c>
    </row>
    <row r="63" spans="2:32" ht="88.1" thickBot="1" x14ac:dyDescent="1">
      <c r="B63" s="285"/>
      <c r="C63" s="250" t="s">
        <v>253</v>
      </c>
      <c r="D63" s="251" t="s">
        <v>170</v>
      </c>
      <c r="E63" s="252" t="s">
        <v>170</v>
      </c>
      <c r="F63" s="253">
        <f>15.56+11.13</f>
        <v>26.69</v>
      </c>
      <c r="G63" s="252" t="s">
        <v>170</v>
      </c>
      <c r="H63" s="254" t="s">
        <v>170</v>
      </c>
      <c r="I63" s="255" t="s">
        <v>179</v>
      </c>
      <c r="J63" s="256" t="s">
        <v>179</v>
      </c>
      <c r="K63" s="256" t="s">
        <v>179</v>
      </c>
      <c r="L63" s="256" t="s">
        <v>179</v>
      </c>
      <c r="M63" s="257" t="s">
        <v>179</v>
      </c>
      <c r="N63" s="251" t="s">
        <v>170</v>
      </c>
      <c r="O63" s="252" t="s">
        <v>170</v>
      </c>
      <c r="P63" s="253">
        <v>2.48</v>
      </c>
      <c r="Q63" s="252" t="s">
        <v>170</v>
      </c>
      <c r="R63" s="254" t="s">
        <v>170</v>
      </c>
      <c r="S63" s="251" t="s">
        <v>170</v>
      </c>
      <c r="T63" s="252" t="s">
        <v>170</v>
      </c>
      <c r="U63" s="253">
        <v>1.85</v>
      </c>
      <c r="V63" s="252" t="s">
        <v>170</v>
      </c>
      <c r="W63" s="254" t="s">
        <v>170</v>
      </c>
      <c r="X63" s="258">
        <f>20.74+2.73</f>
        <v>23.47</v>
      </c>
      <c r="Y63" s="259">
        <f>24.43+7.7965</f>
        <v>32.226500000000001</v>
      </c>
      <c r="Z63" s="259">
        <f>11.139854+26.81</f>
        <v>37.949854000000002</v>
      </c>
      <c r="AA63" s="260">
        <f>29.73+14.1884</f>
        <v>43.918399999999998</v>
      </c>
      <c r="AB63" s="259">
        <f>33.68+19.15</f>
        <v>52.83</v>
      </c>
      <c r="AC63" s="259">
        <v>1</v>
      </c>
      <c r="AD63" s="261">
        <v>1</v>
      </c>
      <c r="AE63" s="262" t="s">
        <v>254</v>
      </c>
      <c r="AF63" s="263" t="s">
        <v>255</v>
      </c>
    </row>
  </sheetData>
  <mergeCells count="12">
    <mergeCell ref="B36:B60"/>
    <mergeCell ref="B61:B63"/>
    <mergeCell ref="B3:AF3"/>
    <mergeCell ref="B4:B5"/>
    <mergeCell ref="C4:C5"/>
    <mergeCell ref="D4:H4"/>
    <mergeCell ref="I4:M4"/>
    <mergeCell ref="N4:R4"/>
    <mergeCell ref="S4:W4"/>
    <mergeCell ref="X4:AD4"/>
    <mergeCell ref="AE4:AE5"/>
    <mergeCell ref="AF4:AF5"/>
  </mergeCells>
  <hyperlinks>
    <hyperlink ref="AE30:AE31" r:id="rId1" display="Hydropower Vision" xr:uid="{2D338FE2-667C-4549-99AB-1C9BB972F30D}"/>
    <hyperlink ref="AE61" r:id="rId2" display="Hydropower Vision" xr:uid="{78FDC79A-93A0-4ABD-9E47-68D446704F0E}"/>
    <hyperlink ref="AE57" r:id="rId3" xr:uid="{75957EDD-9B1E-444B-A719-5C52A99BF000}"/>
    <hyperlink ref="AE58:AE60" r:id="rId4" display="Whitaker et al. 2014" xr:uid="{D73FAFF3-2A54-4BD5-9E9D-80C8EE4CE00F}"/>
    <hyperlink ref="AE7" r:id="rId5" location="/pages/product/000000000001026852/?lang=en-US" xr:uid="{44F5B55E-CA1E-42AC-B467-6C2B27594E8F}"/>
    <hyperlink ref="AE8:AE10" r:id="rId6" location="/pages/product/000000000001026852/?lang=en-US" display="EPRI 2013" xr:uid="{98EF5B5E-53AB-4EA0-94E2-0415EB3D8E80}"/>
    <hyperlink ref="AE30" r:id="rId7" display="Hydropower Vision" xr:uid="{1CF96DBF-5F90-4CBF-97EE-41CB4A631F03}"/>
    <hyperlink ref="AE13" r:id="rId8" xr:uid="{0E8F63BB-40B7-4B12-87C3-E341B08D4FBA}"/>
    <hyperlink ref="AE14:AE15" r:id="rId9" display="Kim et al. 2012" xr:uid="{A7859F88-A57B-4F13-B790-9B732ED9BB12}"/>
    <hyperlink ref="AE21" r:id="rId10" xr:uid="{31C85381-EC13-40A3-BE0D-05AD7D74ED77}"/>
    <hyperlink ref="AE16" r:id="rId11" xr:uid="{883406CF-40FD-4BAC-906D-D29519554FD0}"/>
    <hyperlink ref="AE17:AE20" r:id="rId12" display="Hsu et al. 2012" xr:uid="{B91CF361-5AB7-4B86-8401-D094215BB2E3}"/>
    <hyperlink ref="AE22:AE24" r:id="rId13" display="Burkhardt et al. 2012" xr:uid="{65F3484B-359E-48DF-9114-9DF7C735912E}"/>
    <hyperlink ref="AE6" r:id="rId14" location="/pages/product/000000000001026852/?lang=en-US" xr:uid="{D5231CEF-34D7-443D-9F55-E47C51A40BF3}"/>
    <hyperlink ref="AE56" r:id="rId15" xr:uid="{A666D0B5-490C-4F5A-87BE-81A8836F67FA}"/>
    <hyperlink ref="AE29" r:id="rId16" display="Hydropower Vision" xr:uid="{9869CF73-3052-406D-ABEF-747DD20BC49B}"/>
    <hyperlink ref="AE36:AE38" r:id="rId17" display="Warner et al." xr:uid="{777A64E0-78B6-47A1-98B4-A0BB9AEDB873}"/>
    <hyperlink ref="AE51" r:id="rId18" xr:uid="{08D8E824-DD8C-4C42-B5F1-AE4E5857A4A0}"/>
    <hyperlink ref="AE33" r:id="rId19" xr:uid="{4C6B9B35-57C8-49F0-935B-3FCB8C2B2B88}"/>
    <hyperlink ref="AE34:AE35" r:id="rId20" display="Wind Vision Appendix J" xr:uid="{76EC5EA7-16B0-4088-BDBC-9F991A0240B2}"/>
    <hyperlink ref="AE32" r:id="rId21" xr:uid="{1AFDC52A-2E0A-4D6C-AA5D-2919DFBFCDAC}"/>
    <hyperlink ref="AE55" r:id="rId22" xr:uid="{42E27246-BF48-44D1-AC42-5F2A8D87F797}"/>
    <hyperlink ref="AE25" r:id="rId23" xr:uid="{3B687551-498B-4810-9596-27C66D658C73}"/>
    <hyperlink ref="AE26:AE28" r:id="rId24" display="Eberle et al. 2017" xr:uid="{FF3B1D1F-D661-4AC6-BA82-FAFF241F654D}"/>
    <hyperlink ref="AE40:AE43" r:id="rId25" display="Warner and Heath 2012" xr:uid="{48C77742-23C4-457A-AD40-35F73FFE83E2}"/>
    <hyperlink ref="AE39" r:id="rId26" display="Warner et al." xr:uid="{D5776BED-4A24-4E59-9CF1-2D56624BD04D}"/>
    <hyperlink ref="AE52:AE54" r:id="rId27" display="Heath et al. 2014" xr:uid="{8AA9A164-2E29-43F0-A4E3-8FF75D655340}"/>
    <hyperlink ref="AE44" r:id="rId28" xr:uid="{13520C1B-9A90-4C78-A799-E7F1A3AA21F6}"/>
    <hyperlink ref="AE45:AE49" r:id="rId29" display="O'Donoughe et al. 2013" xr:uid="{F1537E8D-6070-4C11-B7F9-CBBCABAE91C5}"/>
    <hyperlink ref="C1" r:id="rId30" xr:uid="{476BDB6B-888A-4438-8503-AF745019B70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849C-459F-457E-8BBD-1B1935A0568B}">
  <sheetPr codeName="Sheet7"/>
  <dimension ref="A2:I16"/>
  <sheetViews>
    <sheetView topLeftCell="A6" workbookViewId="0">
      <selection activeCell="C16" sqref="C16"/>
    </sheetView>
  </sheetViews>
  <sheetFormatPr defaultRowHeight="14.6" x14ac:dyDescent="0.85"/>
  <sheetData>
    <row r="2" spans="1:9" ht="14.65" x14ac:dyDescent="0.85">
      <c r="A2" t="s">
        <v>256</v>
      </c>
      <c r="B2" t="s">
        <v>257</v>
      </c>
    </row>
    <row r="3" spans="1:9" ht="14.65" x14ac:dyDescent="0.85">
      <c r="B3" s="33" t="s">
        <v>258</v>
      </c>
    </row>
    <row r="4" spans="1:9" ht="14.65" x14ac:dyDescent="0.85">
      <c r="B4" t="s">
        <v>259</v>
      </c>
    </row>
    <row r="5" spans="1:9" ht="58.95" customHeight="1" x14ac:dyDescent="0.85">
      <c r="B5" s="302" t="s">
        <v>260</v>
      </c>
      <c r="C5" s="302"/>
      <c r="D5" s="302"/>
      <c r="E5" s="302"/>
      <c r="F5" s="302"/>
      <c r="G5" s="302"/>
      <c r="H5" s="302"/>
      <c r="I5" s="302"/>
    </row>
    <row r="7" spans="1:9" ht="14.65" x14ac:dyDescent="0.85">
      <c r="B7" t="s">
        <v>1</v>
      </c>
      <c r="C7" t="s">
        <v>2</v>
      </c>
      <c r="D7" t="s">
        <v>3</v>
      </c>
      <c r="E7" t="s">
        <v>4</v>
      </c>
      <c r="F7" t="s">
        <v>5</v>
      </c>
    </row>
    <row r="8" spans="1:9" ht="14.65" x14ac:dyDescent="0.85">
      <c r="B8">
        <v>25</v>
      </c>
      <c r="C8">
        <v>25</v>
      </c>
      <c r="D8">
        <v>60</v>
      </c>
      <c r="E8">
        <v>35</v>
      </c>
      <c r="F8">
        <v>35</v>
      </c>
    </row>
    <row r="10" spans="1:9" ht="14.65" x14ac:dyDescent="0.85">
      <c r="A10" t="s">
        <v>261</v>
      </c>
    </row>
    <row r="11" spans="1:9" ht="14.65" x14ac:dyDescent="0.85">
      <c r="B11" t="s">
        <v>262</v>
      </c>
    </row>
    <row r="12" spans="1:9" ht="14.65" x14ac:dyDescent="0.85">
      <c r="B12" t="s">
        <v>263</v>
      </c>
    </row>
    <row r="13" spans="1:9" ht="84.45" customHeight="1" x14ac:dyDescent="0.85">
      <c r="B13" s="302" t="s">
        <v>264</v>
      </c>
      <c r="C13" s="302"/>
      <c r="D13" s="302"/>
      <c r="E13" s="302"/>
      <c r="F13" s="302"/>
      <c r="G13" s="302"/>
      <c r="H13" s="302"/>
      <c r="I13" s="302"/>
    </row>
    <row r="15" spans="1:9" ht="14.65" x14ac:dyDescent="0.85">
      <c r="B15" t="s">
        <v>6</v>
      </c>
      <c r="C15" t="s">
        <v>265</v>
      </c>
    </row>
    <row r="16" spans="1:9" ht="14.65" x14ac:dyDescent="0.85">
      <c r="B16">
        <v>15</v>
      </c>
      <c r="C16" s="264">
        <v>0.85</v>
      </c>
    </row>
  </sheetData>
  <mergeCells count="2">
    <mergeCell ref="B5:I5"/>
    <mergeCell ref="B13:I13"/>
  </mergeCells>
  <hyperlinks>
    <hyperlink ref="B3" r:id="rId1" xr:uid="{5C5FF5FA-A3D7-4B67-8A88-DD5AA1A7561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62267-168B-4FAD-9038-B6D7AFF55D04}">
  <sheetPr codeName="Sheet8"/>
  <dimension ref="A1:P90"/>
  <sheetViews>
    <sheetView topLeftCell="B1" workbookViewId="0">
      <selection activeCell="P16" sqref="P16"/>
    </sheetView>
  </sheetViews>
  <sheetFormatPr defaultRowHeight="14.6" x14ac:dyDescent="0.85"/>
  <sheetData>
    <row r="1" spans="1:16" ht="14.65" x14ac:dyDescent="0.85">
      <c r="A1" t="s">
        <v>266</v>
      </c>
    </row>
    <row r="2" spans="1:16" ht="14.65" x14ac:dyDescent="0.85">
      <c r="A2" t="s">
        <v>267</v>
      </c>
      <c r="B2" s="303" t="s">
        <v>268</v>
      </c>
      <c r="C2" s="303"/>
      <c r="D2" s="303"/>
      <c r="E2" s="303"/>
      <c r="F2" s="303"/>
      <c r="G2" t="s">
        <v>269</v>
      </c>
      <c r="H2" t="s">
        <v>270</v>
      </c>
    </row>
    <row r="3" spans="1:16" ht="18.399999999999999" x14ac:dyDescent="1">
      <c r="A3" s="265" t="s">
        <v>271</v>
      </c>
      <c r="B3" s="266"/>
      <c r="C3" s="266"/>
      <c r="D3" s="266"/>
      <c r="E3" s="266"/>
      <c r="F3" s="266"/>
      <c r="G3" s="266"/>
      <c r="H3" s="266"/>
      <c r="I3" s="266"/>
      <c r="J3" s="266"/>
      <c r="K3" s="266"/>
      <c r="L3" s="266"/>
      <c r="M3" s="266"/>
      <c r="N3" s="266"/>
      <c r="O3" s="266"/>
      <c r="P3" s="266"/>
    </row>
    <row r="4" spans="1:16" ht="18.399999999999999" x14ac:dyDescent="1">
      <c r="A4" s="267" t="s">
        <v>272</v>
      </c>
      <c r="B4" s="266"/>
      <c r="C4" s="266"/>
      <c r="D4" s="266"/>
      <c r="E4" s="266"/>
      <c r="F4" s="266"/>
      <c r="G4" s="266"/>
      <c r="H4" s="266"/>
      <c r="I4" s="266"/>
      <c r="J4" s="266"/>
      <c r="K4" s="266"/>
      <c r="L4" s="266"/>
      <c r="M4" s="266"/>
      <c r="N4" s="266"/>
      <c r="O4" s="266"/>
      <c r="P4" s="266"/>
    </row>
    <row r="6" spans="1:16" ht="14.65" x14ac:dyDescent="0.85">
      <c r="A6" s="268" t="s">
        <v>273</v>
      </c>
      <c r="B6" s="266"/>
      <c r="C6" s="266"/>
      <c r="D6" s="266"/>
      <c r="E6" s="266"/>
      <c r="F6" s="266"/>
      <c r="G6" s="266"/>
      <c r="H6" s="266"/>
      <c r="I6" s="266"/>
      <c r="J6" s="266"/>
      <c r="K6" s="266"/>
      <c r="L6" s="266"/>
      <c r="M6" s="266"/>
      <c r="N6" s="266"/>
      <c r="O6" s="266"/>
      <c r="P6" s="266"/>
    </row>
    <row r="8" spans="1:16" ht="14.65" x14ac:dyDescent="0.85">
      <c r="A8" s="266" t="s">
        <v>274</v>
      </c>
      <c r="B8" s="266"/>
      <c r="C8" s="266"/>
      <c r="D8" s="266"/>
      <c r="E8" s="266"/>
      <c r="F8" s="266"/>
      <c r="G8" s="266"/>
      <c r="H8" s="266"/>
      <c r="I8" s="266"/>
      <c r="J8" s="266"/>
      <c r="K8" s="266"/>
      <c r="L8" s="266"/>
      <c r="M8" s="266"/>
      <c r="N8" s="266"/>
      <c r="O8" s="266"/>
      <c r="P8" s="266"/>
    </row>
    <row r="9" spans="1:16" ht="14.65" x14ac:dyDescent="0.85">
      <c r="A9" s="266" t="s">
        <v>275</v>
      </c>
      <c r="B9" s="266"/>
      <c r="C9" s="266"/>
      <c r="D9" s="266"/>
      <c r="E9" s="266"/>
      <c r="F9" s="266"/>
      <c r="G9" s="266"/>
      <c r="H9" s="266"/>
      <c r="I9" s="266"/>
      <c r="J9" s="266"/>
      <c r="K9" s="266"/>
      <c r="L9" s="266"/>
      <c r="M9" s="266"/>
      <c r="N9" s="266"/>
      <c r="O9" s="266"/>
      <c r="P9" s="266"/>
    </row>
    <row r="11" spans="1:16" ht="16.149999999999999" x14ac:dyDescent="0.9">
      <c r="A11" s="269" t="s">
        <v>276</v>
      </c>
      <c r="B11" s="266"/>
      <c r="C11" s="266"/>
      <c r="D11" s="266"/>
      <c r="E11" s="266"/>
      <c r="F11" s="266"/>
      <c r="G11" s="266"/>
      <c r="H11" s="266"/>
      <c r="I11" s="266"/>
      <c r="J11" s="266"/>
      <c r="K11" s="266"/>
      <c r="L11" s="266"/>
      <c r="M11" s="266"/>
      <c r="N11" s="266"/>
      <c r="O11" s="266"/>
      <c r="P11" s="266"/>
    </row>
    <row r="13" spans="1:16" ht="14.65" x14ac:dyDescent="0.85">
      <c r="A13" s="270" t="s">
        <v>277</v>
      </c>
      <c r="B13" s="270" t="s">
        <v>278</v>
      </c>
      <c r="C13" s="270" t="s">
        <v>279</v>
      </c>
      <c r="D13" s="270" t="s">
        <v>280</v>
      </c>
      <c r="E13" s="270" t="s">
        <v>281</v>
      </c>
      <c r="F13" s="270" t="s">
        <v>282</v>
      </c>
      <c r="G13" s="270" t="s">
        <v>283</v>
      </c>
      <c r="H13" s="270" t="s">
        <v>284</v>
      </c>
      <c r="I13" s="270" t="s">
        <v>285</v>
      </c>
      <c r="J13" s="270" t="s">
        <v>286</v>
      </c>
      <c r="K13" s="270" t="s">
        <v>287</v>
      </c>
      <c r="L13" s="270" t="s">
        <v>288</v>
      </c>
      <c r="M13" s="270" t="s">
        <v>289</v>
      </c>
      <c r="N13" s="270" t="s">
        <v>290</v>
      </c>
      <c r="O13" s="270" t="s">
        <v>291</v>
      </c>
      <c r="P13" s="270" t="s">
        <v>292</v>
      </c>
    </row>
    <row r="14" spans="1:16" ht="14.65" x14ac:dyDescent="0.85">
      <c r="A14" s="270"/>
      <c r="B14" s="270" t="s">
        <v>293</v>
      </c>
      <c r="C14" s="270" t="s">
        <v>293</v>
      </c>
      <c r="D14" s="270" t="s">
        <v>293</v>
      </c>
      <c r="E14" s="270" t="s">
        <v>293</v>
      </c>
      <c r="F14" s="270" t="s">
        <v>293</v>
      </c>
      <c r="G14" s="270" t="s">
        <v>293</v>
      </c>
      <c r="H14" s="270" t="s">
        <v>293</v>
      </c>
      <c r="I14" s="270" t="s">
        <v>293</v>
      </c>
      <c r="J14" s="270" t="s">
        <v>293</v>
      </c>
      <c r="K14" s="270" t="s">
        <v>293</v>
      </c>
      <c r="L14" s="270" t="s">
        <v>293</v>
      </c>
      <c r="M14" s="270" t="s">
        <v>293</v>
      </c>
      <c r="N14" s="270" t="s">
        <v>293</v>
      </c>
      <c r="O14" s="270" t="s">
        <v>293</v>
      </c>
      <c r="P14" s="270" t="s">
        <v>293</v>
      </c>
    </row>
    <row r="15" spans="1:16" ht="14.65" x14ac:dyDescent="0.85">
      <c r="A15" s="271">
        <v>1949</v>
      </c>
      <c r="B15" s="266" t="s">
        <v>294</v>
      </c>
      <c r="C15" s="266" t="s">
        <v>294</v>
      </c>
      <c r="D15" s="266" t="s">
        <v>294</v>
      </c>
      <c r="E15" s="266">
        <v>44.887</v>
      </c>
      <c r="F15" s="266">
        <v>0</v>
      </c>
      <c r="G15" s="266" t="s">
        <v>294</v>
      </c>
      <c r="H15" s="266">
        <v>18.5</v>
      </c>
      <c r="I15" s="266">
        <v>1.2999999999999999E-2</v>
      </c>
      <c r="J15" s="266" t="s">
        <v>294</v>
      </c>
      <c r="K15" s="266" t="s">
        <v>294</v>
      </c>
      <c r="L15" s="266" t="s">
        <v>294</v>
      </c>
      <c r="M15" s="266" t="s">
        <v>294</v>
      </c>
      <c r="N15" s="266">
        <v>18.513000000000002</v>
      </c>
      <c r="O15" s="266" t="s">
        <v>294</v>
      </c>
      <c r="P15" s="266">
        <v>63.4</v>
      </c>
    </row>
    <row r="16" spans="1:16" ht="14.65" x14ac:dyDescent="0.85">
      <c r="A16" s="271">
        <v>1950</v>
      </c>
      <c r="B16" s="266" t="s">
        <v>294</v>
      </c>
      <c r="C16" s="266" t="s">
        <v>294</v>
      </c>
      <c r="D16" s="266" t="s">
        <v>294</v>
      </c>
      <c r="E16" s="266">
        <v>49.987000000000002</v>
      </c>
      <c r="F16" s="266">
        <v>0</v>
      </c>
      <c r="G16" s="266" t="s">
        <v>294</v>
      </c>
      <c r="H16" s="266">
        <v>19.2</v>
      </c>
      <c r="I16" s="266">
        <v>1.2999999999999999E-2</v>
      </c>
      <c r="J16" s="266" t="s">
        <v>294</v>
      </c>
      <c r="K16" s="266" t="s">
        <v>294</v>
      </c>
      <c r="L16" s="266" t="s">
        <v>294</v>
      </c>
      <c r="M16" s="266" t="s">
        <v>294</v>
      </c>
      <c r="N16" s="266">
        <v>19.213000000000001</v>
      </c>
      <c r="O16" s="266" t="s">
        <v>294</v>
      </c>
      <c r="P16" s="266">
        <v>69.2</v>
      </c>
    </row>
    <row r="17" spans="1:16" ht="14.65" x14ac:dyDescent="0.85">
      <c r="A17" s="271">
        <v>1951</v>
      </c>
      <c r="B17" s="266" t="s">
        <v>294</v>
      </c>
      <c r="C17" s="266" t="s">
        <v>294</v>
      </c>
      <c r="D17" s="266" t="s">
        <v>294</v>
      </c>
      <c r="E17" s="266">
        <v>54.987000000000002</v>
      </c>
      <c r="F17" s="266">
        <v>0</v>
      </c>
      <c r="G17" s="266" t="s">
        <v>294</v>
      </c>
      <c r="H17" s="266">
        <v>20.5</v>
      </c>
      <c r="I17" s="266">
        <v>1.2999999999999999E-2</v>
      </c>
      <c r="J17" s="266" t="s">
        <v>294</v>
      </c>
      <c r="K17" s="266" t="s">
        <v>294</v>
      </c>
      <c r="L17" s="266" t="s">
        <v>294</v>
      </c>
      <c r="M17" s="266" t="s">
        <v>294</v>
      </c>
      <c r="N17" s="266">
        <v>20.513000000000002</v>
      </c>
      <c r="O17" s="266" t="s">
        <v>294</v>
      </c>
      <c r="P17" s="266">
        <v>75.5</v>
      </c>
    </row>
    <row r="18" spans="1:16" ht="14.65" x14ac:dyDescent="0.85">
      <c r="A18" s="271">
        <v>1952</v>
      </c>
      <c r="B18" s="266" t="s">
        <v>294</v>
      </c>
      <c r="C18" s="266" t="s">
        <v>294</v>
      </c>
      <c r="D18" s="266" t="s">
        <v>294</v>
      </c>
      <c r="E18" s="266">
        <v>60.762999999999998</v>
      </c>
      <c r="F18" s="266">
        <v>0</v>
      </c>
      <c r="G18" s="266" t="s">
        <v>294</v>
      </c>
      <c r="H18" s="266">
        <v>22.4</v>
      </c>
      <c r="I18" s="266">
        <v>3.6999999999999998E-2</v>
      </c>
      <c r="J18" s="266" t="s">
        <v>294</v>
      </c>
      <c r="K18" s="266" t="s">
        <v>294</v>
      </c>
      <c r="L18" s="266" t="s">
        <v>294</v>
      </c>
      <c r="M18" s="266" t="s">
        <v>294</v>
      </c>
      <c r="N18" s="266">
        <v>22.437000000000001</v>
      </c>
      <c r="O18" s="266" t="s">
        <v>294</v>
      </c>
      <c r="P18" s="266">
        <v>83.2</v>
      </c>
    </row>
    <row r="19" spans="1:16" ht="14.65" x14ac:dyDescent="0.85">
      <c r="A19" s="271">
        <v>1953</v>
      </c>
      <c r="B19" s="266" t="s">
        <v>294</v>
      </c>
      <c r="C19" s="266" t="s">
        <v>294</v>
      </c>
      <c r="D19" s="266" t="s">
        <v>294</v>
      </c>
      <c r="E19" s="266">
        <v>69.462999999999994</v>
      </c>
      <c r="F19" s="266">
        <v>0</v>
      </c>
      <c r="G19" s="266" t="s">
        <v>294</v>
      </c>
      <c r="H19" s="266">
        <v>23.8</v>
      </c>
      <c r="I19" s="266">
        <v>3.6999999999999998E-2</v>
      </c>
      <c r="J19" s="266" t="s">
        <v>294</v>
      </c>
      <c r="K19" s="266" t="s">
        <v>294</v>
      </c>
      <c r="L19" s="266" t="s">
        <v>294</v>
      </c>
      <c r="M19" s="266" t="s">
        <v>294</v>
      </c>
      <c r="N19" s="266">
        <v>23.837</v>
      </c>
      <c r="O19" s="266" t="s">
        <v>294</v>
      </c>
      <c r="P19" s="266">
        <v>93.3</v>
      </c>
    </row>
    <row r="20" spans="1:16" x14ac:dyDescent="0.85">
      <c r="A20" s="271">
        <v>1954</v>
      </c>
      <c r="B20" s="266" t="s">
        <v>294</v>
      </c>
      <c r="C20" s="266" t="s">
        <v>294</v>
      </c>
      <c r="D20" s="266" t="s">
        <v>294</v>
      </c>
      <c r="E20" s="266">
        <v>77.462999999999994</v>
      </c>
      <c r="F20" s="266">
        <v>0</v>
      </c>
      <c r="G20" s="266" t="s">
        <v>294</v>
      </c>
      <c r="H20" s="266">
        <v>22.5</v>
      </c>
      <c r="I20" s="266">
        <v>3.6999999999999998E-2</v>
      </c>
      <c r="J20" s="266" t="s">
        <v>294</v>
      </c>
      <c r="K20" s="266" t="s">
        <v>294</v>
      </c>
      <c r="L20" s="266" t="s">
        <v>294</v>
      </c>
      <c r="M20" s="266" t="s">
        <v>294</v>
      </c>
      <c r="N20" s="266">
        <v>22.536999999999999</v>
      </c>
      <c r="O20" s="266" t="s">
        <v>294</v>
      </c>
      <c r="P20" s="266">
        <v>100</v>
      </c>
    </row>
    <row r="21" spans="1:16" x14ac:dyDescent="0.85">
      <c r="A21" s="271">
        <v>1955</v>
      </c>
      <c r="B21" s="266" t="s">
        <v>294</v>
      </c>
      <c r="C21" s="266" t="s">
        <v>294</v>
      </c>
      <c r="D21" s="266" t="s">
        <v>294</v>
      </c>
      <c r="E21" s="266">
        <v>86.763000000000005</v>
      </c>
      <c r="F21" s="266">
        <v>0</v>
      </c>
      <c r="G21" s="266" t="s">
        <v>294</v>
      </c>
      <c r="H21" s="266">
        <v>27.4</v>
      </c>
      <c r="I21" s="266">
        <v>3.6999999999999998E-2</v>
      </c>
      <c r="J21" s="266" t="s">
        <v>294</v>
      </c>
      <c r="K21" s="266" t="s">
        <v>294</v>
      </c>
      <c r="L21" s="266" t="s">
        <v>294</v>
      </c>
      <c r="M21" s="266" t="s">
        <v>294</v>
      </c>
      <c r="N21" s="266">
        <v>27.437000000000001</v>
      </c>
      <c r="O21" s="266" t="s">
        <v>294</v>
      </c>
      <c r="P21" s="266">
        <v>114.2</v>
      </c>
    </row>
    <row r="22" spans="1:16" x14ac:dyDescent="0.85">
      <c r="A22" s="271">
        <v>1956</v>
      </c>
      <c r="B22" s="266" t="s">
        <v>294</v>
      </c>
      <c r="C22" s="266" t="s">
        <v>294</v>
      </c>
      <c r="D22" s="266" t="s">
        <v>294</v>
      </c>
      <c r="E22" s="266">
        <v>91.162999999999997</v>
      </c>
      <c r="F22" s="266">
        <v>0</v>
      </c>
      <c r="G22" s="266" t="s">
        <v>294</v>
      </c>
      <c r="H22" s="266">
        <v>28.5</v>
      </c>
      <c r="I22" s="266">
        <v>3.6999999999999998E-2</v>
      </c>
      <c r="J22" s="266" t="s">
        <v>294</v>
      </c>
      <c r="K22" s="266" t="s">
        <v>294</v>
      </c>
      <c r="L22" s="266" t="s">
        <v>294</v>
      </c>
      <c r="M22" s="266" t="s">
        <v>294</v>
      </c>
      <c r="N22" s="266">
        <v>28.536999999999999</v>
      </c>
      <c r="O22" s="266" t="s">
        <v>294</v>
      </c>
      <c r="P22" s="266">
        <v>119.7</v>
      </c>
    </row>
    <row r="23" spans="1:16" x14ac:dyDescent="0.85">
      <c r="A23" s="271">
        <v>1957</v>
      </c>
      <c r="B23" s="266" t="s">
        <v>294</v>
      </c>
      <c r="C23" s="266" t="s">
        <v>294</v>
      </c>
      <c r="D23" s="266" t="s">
        <v>294</v>
      </c>
      <c r="E23" s="266">
        <v>100.28100000000001</v>
      </c>
      <c r="F23" s="266">
        <v>5.5E-2</v>
      </c>
      <c r="G23" s="266" t="s">
        <v>294</v>
      </c>
      <c r="H23" s="266">
        <v>30.7</v>
      </c>
      <c r="I23" s="266">
        <v>6.4000000000000001E-2</v>
      </c>
      <c r="J23" s="266" t="s">
        <v>294</v>
      </c>
      <c r="K23" s="266" t="s">
        <v>294</v>
      </c>
      <c r="L23" s="266" t="s">
        <v>294</v>
      </c>
      <c r="M23" s="266" t="s">
        <v>294</v>
      </c>
      <c r="N23" s="266">
        <v>30.763999999999999</v>
      </c>
      <c r="O23" s="266" t="s">
        <v>294</v>
      </c>
      <c r="P23" s="266">
        <v>131.1</v>
      </c>
    </row>
    <row r="24" spans="1:16" x14ac:dyDescent="0.85">
      <c r="A24" s="271">
        <v>1958</v>
      </c>
      <c r="B24" s="266" t="s">
        <v>294</v>
      </c>
      <c r="C24" s="266" t="s">
        <v>294</v>
      </c>
      <c r="D24" s="266" t="s">
        <v>294</v>
      </c>
      <c r="E24" s="266">
        <v>110.681</v>
      </c>
      <c r="F24" s="266">
        <v>5.5E-2</v>
      </c>
      <c r="G24" s="266" t="s">
        <v>294</v>
      </c>
      <c r="H24" s="266">
        <v>32.5</v>
      </c>
      <c r="I24" s="266">
        <v>6.4000000000000001E-2</v>
      </c>
      <c r="J24" s="266" t="s">
        <v>294</v>
      </c>
      <c r="K24" s="266" t="s">
        <v>294</v>
      </c>
      <c r="L24" s="266" t="s">
        <v>294</v>
      </c>
      <c r="M24" s="266" t="s">
        <v>294</v>
      </c>
      <c r="N24" s="266">
        <v>32.564</v>
      </c>
      <c r="O24" s="266" t="s">
        <v>294</v>
      </c>
      <c r="P24" s="266">
        <v>143.30000000000001</v>
      </c>
    </row>
    <row r="25" spans="1:16" x14ac:dyDescent="0.85">
      <c r="A25" s="271">
        <v>1959</v>
      </c>
      <c r="B25" s="266" t="s">
        <v>294</v>
      </c>
      <c r="C25" s="266" t="s">
        <v>294</v>
      </c>
      <c r="D25" s="266" t="s">
        <v>294</v>
      </c>
      <c r="E25" s="266">
        <v>120.98099999999999</v>
      </c>
      <c r="F25" s="266">
        <v>5.5E-2</v>
      </c>
      <c r="G25" s="266" t="s">
        <v>294</v>
      </c>
      <c r="H25" s="266">
        <v>34.799999999999997</v>
      </c>
      <c r="I25" s="266">
        <v>6.4000000000000001E-2</v>
      </c>
      <c r="J25" s="266" t="s">
        <v>294</v>
      </c>
      <c r="K25" s="266" t="s">
        <v>294</v>
      </c>
      <c r="L25" s="266" t="s">
        <v>294</v>
      </c>
      <c r="M25" s="266" t="s">
        <v>294</v>
      </c>
      <c r="N25" s="266">
        <v>34.863999999999997</v>
      </c>
      <c r="O25" s="266" t="s">
        <v>294</v>
      </c>
      <c r="P25" s="266">
        <v>155.9</v>
      </c>
    </row>
    <row r="26" spans="1:16" x14ac:dyDescent="0.85">
      <c r="A26" s="271">
        <v>1960</v>
      </c>
      <c r="B26" s="266" t="s">
        <v>294</v>
      </c>
      <c r="C26" s="266" t="s">
        <v>294</v>
      </c>
      <c r="D26" s="266" t="s">
        <v>294</v>
      </c>
      <c r="E26" s="266">
        <v>130.81399999999999</v>
      </c>
      <c r="F26" s="266">
        <v>0.41099999999999998</v>
      </c>
      <c r="G26" s="266" t="s">
        <v>294</v>
      </c>
      <c r="H26" s="266">
        <v>35.799999999999997</v>
      </c>
      <c r="I26" s="266">
        <v>6.4000000000000001E-2</v>
      </c>
      <c r="J26" s="266" t="s">
        <v>294</v>
      </c>
      <c r="K26" s="266">
        <v>1.0999999999999999E-2</v>
      </c>
      <c r="L26" s="266" t="s">
        <v>294</v>
      </c>
      <c r="M26" s="266" t="s">
        <v>294</v>
      </c>
      <c r="N26" s="266">
        <v>35.875</v>
      </c>
      <c r="O26" s="266" t="s">
        <v>294</v>
      </c>
      <c r="P26" s="266">
        <v>167.1</v>
      </c>
    </row>
    <row r="27" spans="1:16" x14ac:dyDescent="0.85">
      <c r="A27" s="271">
        <v>1961</v>
      </c>
      <c r="B27" s="266" t="s">
        <v>294</v>
      </c>
      <c r="C27" s="266" t="s">
        <v>294</v>
      </c>
      <c r="D27" s="266" t="s">
        <v>294</v>
      </c>
      <c r="E27" s="266">
        <v>137.81399999999999</v>
      </c>
      <c r="F27" s="266">
        <v>0.41099999999999998</v>
      </c>
      <c r="G27" s="266" t="s">
        <v>294</v>
      </c>
      <c r="H27" s="266">
        <v>40.700000000000003</v>
      </c>
      <c r="I27" s="266">
        <v>6.4000000000000001E-2</v>
      </c>
      <c r="J27" s="266" t="s">
        <v>294</v>
      </c>
      <c r="K27" s="266">
        <v>1.0999999999999999E-2</v>
      </c>
      <c r="L27" s="266" t="s">
        <v>294</v>
      </c>
      <c r="M27" s="266" t="s">
        <v>294</v>
      </c>
      <c r="N27" s="266">
        <v>40.774999999999999</v>
      </c>
      <c r="O27" s="266" t="s">
        <v>294</v>
      </c>
      <c r="P27" s="266">
        <v>179</v>
      </c>
    </row>
    <row r="28" spans="1:16" x14ac:dyDescent="0.85">
      <c r="A28" s="271">
        <v>1962</v>
      </c>
      <c r="B28" s="266" t="s">
        <v>294</v>
      </c>
      <c r="C28" s="266" t="s">
        <v>294</v>
      </c>
      <c r="D28" s="266" t="s">
        <v>294</v>
      </c>
      <c r="E28" s="266">
        <v>147.292</v>
      </c>
      <c r="F28" s="266">
        <v>0.73299999999999998</v>
      </c>
      <c r="G28" s="266" t="s">
        <v>294</v>
      </c>
      <c r="H28" s="266">
        <v>44</v>
      </c>
      <c r="I28" s="266">
        <v>6.4000000000000001E-2</v>
      </c>
      <c r="J28" s="266" t="s">
        <v>294</v>
      </c>
      <c r="K28" s="266">
        <v>1.0999999999999999E-2</v>
      </c>
      <c r="L28" s="266" t="s">
        <v>294</v>
      </c>
      <c r="M28" s="266" t="s">
        <v>294</v>
      </c>
      <c r="N28" s="266">
        <v>44.075000000000003</v>
      </c>
      <c r="O28" s="266" t="s">
        <v>294</v>
      </c>
      <c r="P28" s="266">
        <v>192.1</v>
      </c>
    </row>
    <row r="29" spans="1:16" x14ac:dyDescent="0.85">
      <c r="A29" s="271">
        <v>1963</v>
      </c>
      <c r="B29" s="266" t="s">
        <v>294</v>
      </c>
      <c r="C29" s="266" t="s">
        <v>294</v>
      </c>
      <c r="D29" s="266" t="s">
        <v>294</v>
      </c>
      <c r="E29" s="266">
        <v>161.81899999999999</v>
      </c>
      <c r="F29" s="266">
        <v>0.79300000000000004</v>
      </c>
      <c r="G29" s="266" t="s">
        <v>294</v>
      </c>
      <c r="H29" s="266">
        <v>47</v>
      </c>
      <c r="I29" s="266">
        <v>6.4000000000000001E-2</v>
      </c>
      <c r="J29" s="266" t="s">
        <v>294</v>
      </c>
      <c r="K29" s="266">
        <v>2.4E-2</v>
      </c>
      <c r="L29" s="266" t="s">
        <v>294</v>
      </c>
      <c r="M29" s="266" t="s">
        <v>294</v>
      </c>
      <c r="N29" s="266">
        <v>47.088000000000001</v>
      </c>
      <c r="O29" s="266" t="s">
        <v>294</v>
      </c>
      <c r="P29" s="266">
        <v>209.7</v>
      </c>
    </row>
    <row r="30" spans="1:16" x14ac:dyDescent="0.85">
      <c r="A30" s="271">
        <v>1964</v>
      </c>
      <c r="B30" s="266" t="s">
        <v>294</v>
      </c>
      <c r="C30" s="266" t="s">
        <v>294</v>
      </c>
      <c r="D30" s="266" t="s">
        <v>294</v>
      </c>
      <c r="E30" s="266">
        <v>173.41900000000001</v>
      </c>
      <c r="F30" s="266">
        <v>0.79300000000000004</v>
      </c>
      <c r="G30" s="266" t="s">
        <v>294</v>
      </c>
      <c r="H30" s="266">
        <v>49.4</v>
      </c>
      <c r="I30" s="266">
        <v>6.4000000000000001E-2</v>
      </c>
      <c r="J30" s="266" t="s">
        <v>294</v>
      </c>
      <c r="K30" s="266">
        <v>2.4E-2</v>
      </c>
      <c r="L30" s="266" t="s">
        <v>294</v>
      </c>
      <c r="M30" s="266" t="s">
        <v>294</v>
      </c>
      <c r="N30" s="266">
        <v>49.488</v>
      </c>
      <c r="O30" s="266" t="s">
        <v>294</v>
      </c>
      <c r="P30" s="266">
        <v>223.7</v>
      </c>
    </row>
    <row r="31" spans="1:16" x14ac:dyDescent="0.85">
      <c r="A31" s="271">
        <v>1965</v>
      </c>
      <c r="B31" s="266" t="s">
        <v>294</v>
      </c>
      <c r="C31" s="266" t="s">
        <v>294</v>
      </c>
      <c r="D31" s="266" t="s">
        <v>294</v>
      </c>
      <c r="E31" s="266">
        <v>182.91900000000001</v>
      </c>
      <c r="F31" s="266">
        <v>0.79300000000000004</v>
      </c>
      <c r="G31" s="266" t="s">
        <v>294</v>
      </c>
      <c r="H31" s="266">
        <v>51</v>
      </c>
      <c r="I31" s="266">
        <v>6.4000000000000001E-2</v>
      </c>
      <c r="J31" s="266" t="s">
        <v>294</v>
      </c>
      <c r="K31" s="266">
        <v>2.4E-2</v>
      </c>
      <c r="L31" s="266" t="s">
        <v>294</v>
      </c>
      <c r="M31" s="266" t="s">
        <v>294</v>
      </c>
      <c r="N31" s="266">
        <v>51.088000000000001</v>
      </c>
      <c r="O31" s="266" t="s">
        <v>294</v>
      </c>
      <c r="P31" s="266">
        <v>234.8</v>
      </c>
    </row>
    <row r="32" spans="1:16" x14ac:dyDescent="0.85">
      <c r="A32" s="271">
        <v>1966</v>
      </c>
      <c r="B32" s="266" t="s">
        <v>294</v>
      </c>
      <c r="C32" s="266" t="s">
        <v>294</v>
      </c>
      <c r="D32" s="266" t="s">
        <v>294</v>
      </c>
      <c r="E32" s="266">
        <v>194.52600000000001</v>
      </c>
      <c r="F32" s="266">
        <v>1.679</v>
      </c>
      <c r="G32" s="266" t="s">
        <v>294</v>
      </c>
      <c r="H32" s="266">
        <v>51.2</v>
      </c>
      <c r="I32" s="266">
        <v>7.1999999999999995E-2</v>
      </c>
      <c r="J32" s="266" t="s">
        <v>294</v>
      </c>
      <c r="K32" s="266">
        <v>2.4E-2</v>
      </c>
      <c r="L32" s="266" t="s">
        <v>294</v>
      </c>
      <c r="M32" s="266" t="s">
        <v>294</v>
      </c>
      <c r="N32" s="266">
        <v>51.295999999999999</v>
      </c>
      <c r="O32" s="266" t="s">
        <v>294</v>
      </c>
      <c r="P32" s="266">
        <v>247.5</v>
      </c>
    </row>
    <row r="33" spans="1:16" x14ac:dyDescent="0.85">
      <c r="A33" s="271">
        <v>1967</v>
      </c>
      <c r="B33" s="266" t="s">
        <v>294</v>
      </c>
      <c r="C33" s="266" t="s">
        <v>294</v>
      </c>
      <c r="D33" s="266" t="s">
        <v>294</v>
      </c>
      <c r="E33" s="266">
        <v>208.89400000000001</v>
      </c>
      <c r="F33" s="266">
        <v>2.6840000000000002</v>
      </c>
      <c r="G33" s="266" t="s">
        <v>294</v>
      </c>
      <c r="H33" s="266">
        <v>55</v>
      </c>
      <c r="I33" s="266">
        <v>7.1999999999999995E-2</v>
      </c>
      <c r="J33" s="266" t="s">
        <v>294</v>
      </c>
      <c r="K33" s="266">
        <v>5.0999999999999997E-2</v>
      </c>
      <c r="L33" s="266" t="s">
        <v>294</v>
      </c>
      <c r="M33" s="266" t="s">
        <v>294</v>
      </c>
      <c r="N33" s="266">
        <v>55.122999999999998</v>
      </c>
      <c r="O33" s="266" t="s">
        <v>294</v>
      </c>
      <c r="P33" s="266">
        <v>266.7</v>
      </c>
    </row>
    <row r="34" spans="1:16" x14ac:dyDescent="0.85">
      <c r="A34" s="271">
        <v>1968</v>
      </c>
      <c r="B34" s="266" t="s">
        <v>294</v>
      </c>
      <c r="C34" s="266" t="s">
        <v>294</v>
      </c>
      <c r="D34" s="266" t="s">
        <v>294</v>
      </c>
      <c r="E34" s="266">
        <v>223.22300000000001</v>
      </c>
      <c r="F34" s="266">
        <v>2.7280000000000002</v>
      </c>
      <c r="G34" s="266" t="s">
        <v>294</v>
      </c>
      <c r="H34" s="266">
        <v>57.9</v>
      </c>
      <c r="I34" s="266">
        <v>7.1999999999999995E-2</v>
      </c>
      <c r="J34" s="266" t="s">
        <v>294</v>
      </c>
      <c r="K34" s="266">
        <v>7.8E-2</v>
      </c>
      <c r="L34" s="266" t="s">
        <v>294</v>
      </c>
      <c r="M34" s="266" t="s">
        <v>294</v>
      </c>
      <c r="N34" s="266">
        <v>58.05</v>
      </c>
      <c r="O34" s="266" t="s">
        <v>294</v>
      </c>
      <c r="P34" s="266">
        <v>284</v>
      </c>
    </row>
    <row r="35" spans="1:16" x14ac:dyDescent="0.85">
      <c r="A35" s="271">
        <v>1969</v>
      </c>
      <c r="B35" s="266" t="s">
        <v>294</v>
      </c>
      <c r="C35" s="266" t="s">
        <v>294</v>
      </c>
      <c r="D35" s="266" t="s">
        <v>294</v>
      </c>
      <c r="E35" s="266">
        <v>243.62299999999999</v>
      </c>
      <c r="F35" s="266">
        <v>4.4279999999999999</v>
      </c>
      <c r="G35" s="266" t="s">
        <v>294</v>
      </c>
      <c r="H35" s="266">
        <v>61.6</v>
      </c>
      <c r="I35" s="266">
        <v>7.1999999999999995E-2</v>
      </c>
      <c r="J35" s="266" t="s">
        <v>294</v>
      </c>
      <c r="K35" s="266">
        <v>7.8E-2</v>
      </c>
      <c r="L35" s="266" t="s">
        <v>294</v>
      </c>
      <c r="M35" s="266" t="s">
        <v>294</v>
      </c>
      <c r="N35" s="266">
        <v>61.75</v>
      </c>
      <c r="O35" s="266" t="s">
        <v>294</v>
      </c>
      <c r="P35" s="266">
        <v>309.8</v>
      </c>
    </row>
    <row r="36" spans="1:16" x14ac:dyDescent="0.85">
      <c r="A36" s="271">
        <v>1970</v>
      </c>
      <c r="B36" s="266" t="s">
        <v>294</v>
      </c>
      <c r="C36" s="266" t="s">
        <v>294</v>
      </c>
      <c r="D36" s="266" t="s">
        <v>294</v>
      </c>
      <c r="E36" s="266">
        <v>265.447</v>
      </c>
      <c r="F36" s="266">
        <v>7.0039999999999996</v>
      </c>
      <c r="G36" s="266" t="s">
        <v>294</v>
      </c>
      <c r="H36" s="266">
        <v>63.8</v>
      </c>
      <c r="I36" s="266">
        <v>7.1999999999999995E-2</v>
      </c>
      <c r="J36" s="266" t="s">
        <v>294</v>
      </c>
      <c r="K36" s="266">
        <v>7.8E-2</v>
      </c>
      <c r="L36" s="266" t="s">
        <v>294</v>
      </c>
      <c r="M36" s="266" t="s">
        <v>294</v>
      </c>
      <c r="N36" s="266">
        <v>63.95</v>
      </c>
      <c r="O36" s="266" t="s">
        <v>294</v>
      </c>
      <c r="P36" s="266">
        <v>336.4</v>
      </c>
    </row>
    <row r="37" spans="1:16" x14ac:dyDescent="0.85">
      <c r="A37" s="271">
        <v>1971</v>
      </c>
      <c r="B37" s="266" t="s">
        <v>294</v>
      </c>
      <c r="C37" s="266" t="s">
        <v>294</v>
      </c>
      <c r="D37" s="266" t="s">
        <v>294</v>
      </c>
      <c r="E37" s="266">
        <v>288.012</v>
      </c>
      <c r="F37" s="266">
        <v>9.0329999999999995</v>
      </c>
      <c r="G37" s="266" t="s">
        <v>294</v>
      </c>
      <c r="H37" s="266">
        <v>69.099999999999994</v>
      </c>
      <c r="I37" s="266">
        <v>7.1999999999999995E-2</v>
      </c>
      <c r="J37" s="266" t="s">
        <v>294</v>
      </c>
      <c r="K37" s="266">
        <v>0.184</v>
      </c>
      <c r="L37" s="266" t="s">
        <v>294</v>
      </c>
      <c r="M37" s="266" t="s">
        <v>294</v>
      </c>
      <c r="N37" s="266">
        <v>69.355999999999995</v>
      </c>
      <c r="O37" s="266" t="s">
        <v>294</v>
      </c>
      <c r="P37" s="266">
        <v>366.4</v>
      </c>
    </row>
    <row r="38" spans="1:16" x14ac:dyDescent="0.85">
      <c r="A38" s="271">
        <v>1972</v>
      </c>
      <c r="B38" s="266" t="s">
        <v>294</v>
      </c>
      <c r="C38" s="266" t="s">
        <v>294</v>
      </c>
      <c r="D38" s="266" t="s">
        <v>294</v>
      </c>
      <c r="E38" s="266">
        <v>310.65300000000002</v>
      </c>
      <c r="F38" s="266">
        <v>14.481</v>
      </c>
      <c r="G38" s="266" t="s">
        <v>294</v>
      </c>
      <c r="H38" s="266">
        <v>70.5</v>
      </c>
      <c r="I38" s="266">
        <v>7.6999999999999999E-2</v>
      </c>
      <c r="J38" s="266" t="s">
        <v>294</v>
      </c>
      <c r="K38" s="266">
        <v>0.28999999999999998</v>
      </c>
      <c r="L38" s="266" t="s">
        <v>294</v>
      </c>
      <c r="M38" s="266" t="s">
        <v>294</v>
      </c>
      <c r="N38" s="266">
        <v>70.867000000000004</v>
      </c>
      <c r="O38" s="266" t="s">
        <v>294</v>
      </c>
      <c r="P38" s="266">
        <v>396</v>
      </c>
    </row>
    <row r="39" spans="1:16" x14ac:dyDescent="0.85">
      <c r="A39" s="271">
        <v>1973</v>
      </c>
      <c r="B39" s="266" t="s">
        <v>294</v>
      </c>
      <c r="C39" s="266" t="s">
        <v>294</v>
      </c>
      <c r="D39" s="266" t="s">
        <v>294</v>
      </c>
      <c r="E39" s="266">
        <v>341.245</v>
      </c>
      <c r="F39" s="266">
        <v>22.683</v>
      </c>
      <c r="G39" s="266" t="s">
        <v>294</v>
      </c>
      <c r="H39" s="266">
        <v>75.400000000000006</v>
      </c>
      <c r="I39" s="266">
        <v>7.6999999999999999E-2</v>
      </c>
      <c r="J39" s="266" t="s">
        <v>294</v>
      </c>
      <c r="K39" s="266">
        <v>0.39600000000000002</v>
      </c>
      <c r="L39" s="266" t="s">
        <v>294</v>
      </c>
      <c r="M39" s="266" t="s">
        <v>294</v>
      </c>
      <c r="N39" s="266">
        <v>75.873000000000005</v>
      </c>
      <c r="O39" s="266" t="s">
        <v>294</v>
      </c>
      <c r="P39" s="266">
        <v>439.8</v>
      </c>
    </row>
    <row r="40" spans="1:16" x14ac:dyDescent="0.85">
      <c r="A40" s="271">
        <v>1974</v>
      </c>
      <c r="B40" s="266" t="s">
        <v>294</v>
      </c>
      <c r="C40" s="266" t="s">
        <v>294</v>
      </c>
      <c r="D40" s="266" t="s">
        <v>294</v>
      </c>
      <c r="E40" s="266">
        <v>360.661</v>
      </c>
      <c r="F40" s="266">
        <v>31.867000000000001</v>
      </c>
      <c r="G40" s="266" t="s">
        <v>294</v>
      </c>
      <c r="H40" s="266">
        <v>75.5</v>
      </c>
      <c r="I40" s="266">
        <v>7.6999999999999999E-2</v>
      </c>
      <c r="J40" s="266" t="s">
        <v>294</v>
      </c>
      <c r="K40" s="266">
        <v>0.39600000000000002</v>
      </c>
      <c r="L40" s="266" t="s">
        <v>294</v>
      </c>
      <c r="M40" s="266" t="s">
        <v>294</v>
      </c>
      <c r="N40" s="266">
        <v>75.972999999999999</v>
      </c>
      <c r="O40" s="266" t="s">
        <v>294</v>
      </c>
      <c r="P40" s="266">
        <v>468.5</v>
      </c>
    </row>
    <row r="41" spans="1:16" x14ac:dyDescent="0.85">
      <c r="A41" s="271">
        <v>1975</v>
      </c>
      <c r="B41" s="266" t="s">
        <v>294</v>
      </c>
      <c r="C41" s="266" t="s">
        <v>294</v>
      </c>
      <c r="D41" s="266" t="s">
        <v>294</v>
      </c>
      <c r="E41" s="266">
        <v>375.05500000000001</v>
      </c>
      <c r="F41" s="266">
        <v>37.267000000000003</v>
      </c>
      <c r="G41" s="266" t="s">
        <v>294</v>
      </c>
      <c r="H41" s="266">
        <v>78.400000000000006</v>
      </c>
      <c r="I41" s="266">
        <v>7.6999999999999999E-2</v>
      </c>
      <c r="J41" s="266" t="s">
        <v>294</v>
      </c>
      <c r="K41" s="266">
        <v>0.502</v>
      </c>
      <c r="L41" s="266" t="s">
        <v>294</v>
      </c>
      <c r="M41" s="266" t="s">
        <v>294</v>
      </c>
      <c r="N41" s="266">
        <v>78.978999999999999</v>
      </c>
      <c r="O41" s="266" t="s">
        <v>294</v>
      </c>
      <c r="P41" s="266">
        <v>491.3</v>
      </c>
    </row>
    <row r="42" spans="1:16" x14ac:dyDescent="0.85">
      <c r="A42" s="271">
        <v>1976</v>
      </c>
      <c r="B42" s="266" t="s">
        <v>294</v>
      </c>
      <c r="C42" s="266" t="s">
        <v>294</v>
      </c>
      <c r="D42" s="266" t="s">
        <v>294</v>
      </c>
      <c r="E42" s="266">
        <v>394.8</v>
      </c>
      <c r="F42" s="266">
        <v>43.822000000000003</v>
      </c>
      <c r="G42" s="266" t="s">
        <v>294</v>
      </c>
      <c r="H42" s="266">
        <v>78</v>
      </c>
      <c r="I42" s="266">
        <v>7.6999999999999999E-2</v>
      </c>
      <c r="J42" s="266" t="s">
        <v>294</v>
      </c>
      <c r="K42" s="266">
        <v>0.502</v>
      </c>
      <c r="L42" s="266" t="s">
        <v>294</v>
      </c>
      <c r="M42" s="266" t="s">
        <v>294</v>
      </c>
      <c r="N42" s="266">
        <v>78.578999999999994</v>
      </c>
      <c r="O42" s="266" t="s">
        <v>294</v>
      </c>
      <c r="P42" s="266">
        <v>517.20000000000005</v>
      </c>
    </row>
    <row r="43" spans="1:16" x14ac:dyDescent="0.85">
      <c r="A43" s="271">
        <v>1977</v>
      </c>
      <c r="B43" s="266" t="s">
        <v>294</v>
      </c>
      <c r="C43" s="266" t="s">
        <v>294</v>
      </c>
      <c r="D43" s="266" t="s">
        <v>294</v>
      </c>
      <c r="E43" s="266">
        <v>410.41899999999998</v>
      </c>
      <c r="F43" s="266">
        <v>46.302999999999997</v>
      </c>
      <c r="G43" s="266" t="s">
        <v>294</v>
      </c>
      <c r="H43" s="266">
        <v>78.599999999999994</v>
      </c>
      <c r="I43" s="266">
        <v>7.6999999999999999E-2</v>
      </c>
      <c r="J43" s="266" t="s">
        <v>294</v>
      </c>
      <c r="K43" s="266">
        <v>0.502</v>
      </c>
      <c r="L43" s="266" t="s">
        <v>294</v>
      </c>
      <c r="M43" s="266" t="s">
        <v>294</v>
      </c>
      <c r="N43" s="266">
        <v>79.179000000000002</v>
      </c>
      <c r="O43" s="266" t="s">
        <v>294</v>
      </c>
      <c r="P43" s="266">
        <v>535.9</v>
      </c>
    </row>
    <row r="44" spans="1:16" x14ac:dyDescent="0.85">
      <c r="A44" s="271">
        <v>1978</v>
      </c>
      <c r="B44" s="266" t="s">
        <v>294</v>
      </c>
      <c r="C44" s="266" t="s">
        <v>294</v>
      </c>
      <c r="D44" s="266" t="s">
        <v>294</v>
      </c>
      <c r="E44" s="266">
        <v>420.798</v>
      </c>
      <c r="F44" s="266">
        <v>50.823999999999998</v>
      </c>
      <c r="G44" s="266" t="s">
        <v>294</v>
      </c>
      <c r="H44" s="266">
        <v>79.900000000000006</v>
      </c>
      <c r="I44" s="266">
        <v>7.6999999999999999E-2</v>
      </c>
      <c r="J44" s="266" t="s">
        <v>294</v>
      </c>
      <c r="K44" s="266">
        <v>0.502</v>
      </c>
      <c r="L44" s="266" t="s">
        <v>294</v>
      </c>
      <c r="M44" s="266" t="s">
        <v>294</v>
      </c>
      <c r="N44" s="266">
        <v>80.478999999999999</v>
      </c>
      <c r="O44" s="266" t="s">
        <v>294</v>
      </c>
      <c r="P44" s="266">
        <v>552.1</v>
      </c>
    </row>
    <row r="45" spans="1:16" x14ac:dyDescent="0.85">
      <c r="A45" s="271">
        <v>1979</v>
      </c>
      <c r="B45" s="266" t="s">
        <v>294</v>
      </c>
      <c r="C45" s="266" t="s">
        <v>294</v>
      </c>
      <c r="D45" s="266" t="s">
        <v>294</v>
      </c>
      <c r="E45" s="266">
        <v>432.10899999999998</v>
      </c>
      <c r="F45" s="266">
        <v>49.747</v>
      </c>
      <c r="G45" s="266" t="s">
        <v>294</v>
      </c>
      <c r="H45" s="266">
        <v>82.9</v>
      </c>
      <c r="I45" s="266">
        <v>7.8E-2</v>
      </c>
      <c r="J45" s="266" t="s">
        <v>294</v>
      </c>
      <c r="K45" s="266">
        <v>0.66700000000000004</v>
      </c>
      <c r="L45" s="266" t="s">
        <v>294</v>
      </c>
      <c r="M45" s="266" t="s">
        <v>294</v>
      </c>
      <c r="N45" s="266">
        <v>83.644999999999996</v>
      </c>
      <c r="O45" s="266" t="s">
        <v>294</v>
      </c>
      <c r="P45" s="266">
        <v>565.5</v>
      </c>
    </row>
    <row r="46" spans="1:16" x14ac:dyDescent="0.85">
      <c r="A46" s="271">
        <v>1980</v>
      </c>
      <c r="B46" s="266" t="s">
        <v>294</v>
      </c>
      <c r="C46" s="266" t="s">
        <v>294</v>
      </c>
      <c r="D46" s="266" t="s">
        <v>294</v>
      </c>
      <c r="E46" s="266">
        <v>444.10399999999998</v>
      </c>
      <c r="F46" s="266">
        <v>51.81</v>
      </c>
      <c r="G46" s="266" t="s">
        <v>294</v>
      </c>
      <c r="H46" s="266">
        <v>81.7</v>
      </c>
      <c r="I46" s="266">
        <v>7.8E-2</v>
      </c>
      <c r="J46" s="266" t="s">
        <v>294</v>
      </c>
      <c r="K46" s="266">
        <v>0.90900000000000003</v>
      </c>
      <c r="L46" s="266" t="s">
        <v>294</v>
      </c>
      <c r="M46" s="266" t="s">
        <v>294</v>
      </c>
      <c r="N46" s="266">
        <v>82.686999999999998</v>
      </c>
      <c r="O46" s="266" t="s">
        <v>294</v>
      </c>
      <c r="P46" s="266">
        <v>578.6</v>
      </c>
    </row>
    <row r="47" spans="1:16" x14ac:dyDescent="0.85">
      <c r="A47" s="271">
        <v>1981</v>
      </c>
      <c r="B47" s="266" t="s">
        <v>294</v>
      </c>
      <c r="C47" s="266" t="s">
        <v>294</v>
      </c>
      <c r="D47" s="266" t="s">
        <v>294</v>
      </c>
      <c r="E47" s="266">
        <v>458.87099999999998</v>
      </c>
      <c r="F47" s="266">
        <v>56.042000000000002</v>
      </c>
      <c r="G47" s="266" t="s">
        <v>294</v>
      </c>
      <c r="H47" s="266">
        <v>82.4</v>
      </c>
      <c r="I47" s="266">
        <v>7.8E-2</v>
      </c>
      <c r="J47" s="266" t="s">
        <v>294</v>
      </c>
      <c r="K47" s="266">
        <v>0.90900000000000003</v>
      </c>
      <c r="L47" s="266" t="s">
        <v>294</v>
      </c>
      <c r="M47" s="266">
        <v>0</v>
      </c>
      <c r="N47" s="266">
        <v>83.387</v>
      </c>
      <c r="O47" s="266" t="s">
        <v>294</v>
      </c>
      <c r="P47" s="266">
        <v>598.29999999999995</v>
      </c>
    </row>
    <row r="48" spans="1:16" x14ac:dyDescent="0.85">
      <c r="A48" s="271">
        <v>1982</v>
      </c>
      <c r="B48" s="266" t="s">
        <v>294</v>
      </c>
      <c r="C48" s="266" t="s">
        <v>294</v>
      </c>
      <c r="D48" s="266" t="s">
        <v>294</v>
      </c>
      <c r="E48" s="266">
        <v>469.55799999999999</v>
      </c>
      <c r="F48" s="266">
        <v>60.034999999999997</v>
      </c>
      <c r="G48" s="266" t="s">
        <v>294</v>
      </c>
      <c r="H48" s="266">
        <v>83</v>
      </c>
      <c r="I48" s="266">
        <v>7.9000000000000001E-2</v>
      </c>
      <c r="J48" s="266" t="s">
        <v>294</v>
      </c>
      <c r="K48" s="266">
        <v>1.022</v>
      </c>
      <c r="L48" s="266" t="s">
        <v>294</v>
      </c>
      <c r="M48" s="266">
        <v>6.0000000000000001E-3</v>
      </c>
      <c r="N48" s="266">
        <v>84.106999999999999</v>
      </c>
      <c r="O48" s="266" t="s">
        <v>294</v>
      </c>
      <c r="P48" s="266">
        <v>613.70000000000005</v>
      </c>
    </row>
    <row r="49" spans="1:16" x14ac:dyDescent="0.85">
      <c r="A49" s="271">
        <v>1983</v>
      </c>
      <c r="B49" s="266" t="s">
        <v>294</v>
      </c>
      <c r="C49" s="266" t="s">
        <v>294</v>
      </c>
      <c r="D49" s="266" t="s">
        <v>294</v>
      </c>
      <c r="E49" s="266">
        <v>472.76600000000002</v>
      </c>
      <c r="F49" s="266">
        <v>63.009</v>
      </c>
      <c r="G49" s="266" t="s">
        <v>294</v>
      </c>
      <c r="H49" s="266">
        <v>83.9</v>
      </c>
      <c r="I49" s="266">
        <v>0.21199999999999999</v>
      </c>
      <c r="J49" s="266" t="s">
        <v>294</v>
      </c>
      <c r="K49" s="266">
        <v>1.2070000000000001</v>
      </c>
      <c r="L49" s="266" t="s">
        <v>294</v>
      </c>
      <c r="M49" s="266">
        <v>6.0000000000000001E-3</v>
      </c>
      <c r="N49" s="266">
        <v>85.325000000000003</v>
      </c>
      <c r="O49" s="266" t="s">
        <v>294</v>
      </c>
      <c r="P49" s="266">
        <v>621.1</v>
      </c>
    </row>
    <row r="50" spans="1:16" x14ac:dyDescent="0.85">
      <c r="A50" s="271">
        <v>1984</v>
      </c>
      <c r="B50" s="266" t="s">
        <v>294</v>
      </c>
      <c r="C50" s="266" t="s">
        <v>294</v>
      </c>
      <c r="D50" s="266" t="s">
        <v>294</v>
      </c>
      <c r="E50" s="266">
        <v>478.57900000000001</v>
      </c>
      <c r="F50" s="266">
        <v>69.652000000000001</v>
      </c>
      <c r="G50" s="266" t="s">
        <v>294</v>
      </c>
      <c r="H50" s="266">
        <v>85.3</v>
      </c>
      <c r="I50" s="266">
        <v>0.32100000000000001</v>
      </c>
      <c r="J50" s="266" t="s">
        <v>294</v>
      </c>
      <c r="K50" s="266">
        <v>1.2310000000000001</v>
      </c>
      <c r="L50" s="266" t="s">
        <v>294</v>
      </c>
      <c r="M50" s="266">
        <v>1.7000000000000001E-2</v>
      </c>
      <c r="N50" s="266">
        <v>86.869</v>
      </c>
      <c r="O50" s="266" t="s">
        <v>294</v>
      </c>
      <c r="P50" s="266">
        <v>635.1</v>
      </c>
    </row>
    <row r="51" spans="1:16" x14ac:dyDescent="0.85">
      <c r="A51" s="271">
        <v>1985</v>
      </c>
      <c r="B51" s="266" t="s">
        <v>294</v>
      </c>
      <c r="C51" s="266" t="s">
        <v>294</v>
      </c>
      <c r="D51" s="266" t="s">
        <v>294</v>
      </c>
      <c r="E51" s="266">
        <v>484.95499999999998</v>
      </c>
      <c r="F51" s="266">
        <v>79.397000000000006</v>
      </c>
      <c r="G51" s="266" t="s">
        <v>294</v>
      </c>
      <c r="H51" s="266">
        <v>88.9</v>
      </c>
      <c r="I51" s="266">
        <v>0.2</v>
      </c>
      <c r="J51" s="266">
        <v>0.151</v>
      </c>
      <c r="K51" s="266">
        <v>1.58</v>
      </c>
      <c r="L51" s="266" t="s">
        <v>294</v>
      </c>
      <c r="M51" s="266">
        <v>1.7999999999999999E-2</v>
      </c>
      <c r="N51" s="266">
        <v>90.847999999999999</v>
      </c>
      <c r="O51" s="266" t="s">
        <v>294</v>
      </c>
      <c r="P51" s="266">
        <v>655.20000000000005</v>
      </c>
    </row>
    <row r="52" spans="1:16" x14ac:dyDescent="0.85">
      <c r="A52" s="271">
        <v>1986</v>
      </c>
      <c r="B52" s="266" t="s">
        <v>294</v>
      </c>
      <c r="C52" s="266" t="s">
        <v>294</v>
      </c>
      <c r="D52" s="266" t="s">
        <v>294</v>
      </c>
      <c r="E52" s="266">
        <v>488.33800000000002</v>
      </c>
      <c r="F52" s="266">
        <v>85.241</v>
      </c>
      <c r="G52" s="266" t="s">
        <v>294</v>
      </c>
      <c r="H52" s="266">
        <v>89.3</v>
      </c>
      <c r="I52" s="266">
        <v>0.193</v>
      </c>
      <c r="J52" s="266">
        <v>0.151</v>
      </c>
      <c r="K52" s="266">
        <v>1.5580000000000001</v>
      </c>
      <c r="L52" s="266" t="s">
        <v>294</v>
      </c>
      <c r="M52" s="266">
        <v>1.9E-2</v>
      </c>
      <c r="N52" s="266">
        <v>91.221000000000004</v>
      </c>
      <c r="O52" s="266" t="s">
        <v>294</v>
      </c>
      <c r="P52" s="266">
        <v>664.8</v>
      </c>
    </row>
    <row r="53" spans="1:16" x14ac:dyDescent="0.85">
      <c r="A53" s="271">
        <v>1987</v>
      </c>
      <c r="B53" s="266" t="s">
        <v>294</v>
      </c>
      <c r="C53" s="266" t="s">
        <v>294</v>
      </c>
      <c r="D53" s="266" t="s">
        <v>294</v>
      </c>
      <c r="E53" s="266">
        <v>488.84199999999998</v>
      </c>
      <c r="F53" s="266">
        <v>93.582999999999998</v>
      </c>
      <c r="G53" s="266" t="s">
        <v>294</v>
      </c>
      <c r="H53" s="266">
        <v>89.7</v>
      </c>
      <c r="I53" s="266">
        <v>0.20100000000000001</v>
      </c>
      <c r="J53" s="266">
        <v>0.2</v>
      </c>
      <c r="K53" s="266">
        <v>1.5489999999999999</v>
      </c>
      <c r="L53" s="266" t="s">
        <v>294</v>
      </c>
      <c r="M53" s="266">
        <v>2.5000000000000001E-2</v>
      </c>
      <c r="N53" s="266">
        <v>91.674999999999997</v>
      </c>
      <c r="O53" s="266" t="s">
        <v>294</v>
      </c>
      <c r="P53" s="266">
        <v>674.1</v>
      </c>
    </row>
    <row r="54" spans="1:16" x14ac:dyDescent="0.85">
      <c r="A54" s="271">
        <v>1988</v>
      </c>
      <c r="B54" s="266" t="s">
        <v>294</v>
      </c>
      <c r="C54" s="266" t="s">
        <v>294</v>
      </c>
      <c r="D54" s="266" t="s">
        <v>294</v>
      </c>
      <c r="E54" s="266">
        <v>490.61</v>
      </c>
      <c r="F54" s="266">
        <v>94.694999999999993</v>
      </c>
      <c r="G54" s="266" t="s">
        <v>294</v>
      </c>
      <c r="H54" s="266">
        <v>90.3</v>
      </c>
      <c r="I54" s="266">
        <v>0.221</v>
      </c>
      <c r="J54" s="266">
        <v>0.2</v>
      </c>
      <c r="K54" s="266">
        <v>1.667</v>
      </c>
      <c r="L54" s="266" t="s">
        <v>294</v>
      </c>
      <c r="M54" s="266">
        <v>7.0000000000000001E-3</v>
      </c>
      <c r="N54" s="266">
        <v>92.394999999999996</v>
      </c>
      <c r="O54" s="266" t="s">
        <v>294</v>
      </c>
      <c r="P54" s="266">
        <v>677.7</v>
      </c>
    </row>
    <row r="55" spans="1:16" x14ac:dyDescent="0.85">
      <c r="A55" s="271">
        <v>1989</v>
      </c>
      <c r="B55" s="266">
        <v>303.108</v>
      </c>
      <c r="C55" s="266">
        <v>79.061000000000007</v>
      </c>
      <c r="D55" s="266">
        <v>135.678</v>
      </c>
      <c r="E55" s="266">
        <v>519.39200000000005</v>
      </c>
      <c r="F55" s="266">
        <v>98.161000000000001</v>
      </c>
      <c r="G55" s="266">
        <v>18.094000000000001</v>
      </c>
      <c r="H55" s="266">
        <v>74.111000000000004</v>
      </c>
      <c r="I55" s="266">
        <v>5.2220000000000004</v>
      </c>
      <c r="J55" s="266">
        <v>2.0510000000000002</v>
      </c>
      <c r="K55" s="266">
        <v>2.577</v>
      </c>
      <c r="L55" s="266">
        <v>0.19</v>
      </c>
      <c r="M55" s="266">
        <v>1.528</v>
      </c>
      <c r="N55" s="266">
        <v>85.679000000000002</v>
      </c>
      <c r="O55" s="266" t="s">
        <v>294</v>
      </c>
      <c r="P55" s="266">
        <v>721.79700000000003</v>
      </c>
    </row>
    <row r="56" spans="1:16" x14ac:dyDescent="0.85">
      <c r="A56" s="271">
        <v>1990</v>
      </c>
      <c r="B56" s="266">
        <v>307.36099999999999</v>
      </c>
      <c r="C56" s="266">
        <v>77.921000000000006</v>
      </c>
      <c r="D56" s="266">
        <v>140.84899999999999</v>
      </c>
      <c r="E56" s="266">
        <v>527.77200000000005</v>
      </c>
      <c r="F56" s="266">
        <v>99.623999999999995</v>
      </c>
      <c r="G56" s="266">
        <v>19.462</v>
      </c>
      <c r="H56" s="266">
        <v>73.923000000000002</v>
      </c>
      <c r="I56" s="266">
        <v>5.5490000000000004</v>
      </c>
      <c r="J56" s="266">
        <v>2.5110000000000001</v>
      </c>
      <c r="K56" s="266">
        <v>2.6659999999999999</v>
      </c>
      <c r="L56" s="266">
        <v>0.314</v>
      </c>
      <c r="M56" s="266">
        <v>1.7989999999999999</v>
      </c>
      <c r="N56" s="266">
        <v>86.763000000000005</v>
      </c>
      <c r="O56" s="266" t="s">
        <v>294</v>
      </c>
      <c r="P56" s="266">
        <v>734.12199999999996</v>
      </c>
    </row>
    <row r="57" spans="1:16" x14ac:dyDescent="0.85">
      <c r="A57" s="271">
        <v>1991</v>
      </c>
      <c r="B57" s="266">
        <v>307.43799999999999</v>
      </c>
      <c r="C57" s="266">
        <v>74.248000000000005</v>
      </c>
      <c r="D57" s="266">
        <v>147.61000000000001</v>
      </c>
      <c r="E57" s="266">
        <v>531.39800000000002</v>
      </c>
      <c r="F57" s="266">
        <v>99.588999999999999</v>
      </c>
      <c r="G57" s="266">
        <v>18.414000000000001</v>
      </c>
      <c r="H57" s="266">
        <v>76.036000000000001</v>
      </c>
      <c r="I57" s="266">
        <v>6.1369999999999996</v>
      </c>
      <c r="J57" s="266">
        <v>2.9279999999999999</v>
      </c>
      <c r="K57" s="266">
        <v>2.6219999999999999</v>
      </c>
      <c r="L57" s="266">
        <v>0.32300000000000001</v>
      </c>
      <c r="M57" s="266">
        <v>1.885</v>
      </c>
      <c r="N57" s="266">
        <v>89.930999999999997</v>
      </c>
      <c r="O57" s="266" t="s">
        <v>294</v>
      </c>
      <c r="P57" s="266">
        <v>739.87</v>
      </c>
    </row>
    <row r="58" spans="1:16" x14ac:dyDescent="0.85">
      <c r="A58" s="271">
        <v>1992</v>
      </c>
      <c r="B58" s="266">
        <v>309.37200000000001</v>
      </c>
      <c r="C58" s="266">
        <v>73.114000000000004</v>
      </c>
      <c r="D58" s="266">
        <v>152.17699999999999</v>
      </c>
      <c r="E58" s="266">
        <v>536.73299999999995</v>
      </c>
      <c r="F58" s="266">
        <v>98.984999999999999</v>
      </c>
      <c r="G58" s="266">
        <v>21.19</v>
      </c>
      <c r="H58" s="266">
        <v>74.772999999999996</v>
      </c>
      <c r="I58" s="266">
        <v>6.2130000000000001</v>
      </c>
      <c r="J58" s="266">
        <v>3.03</v>
      </c>
      <c r="K58" s="266">
        <v>2.8769999999999998</v>
      </c>
      <c r="L58" s="266">
        <v>0.33900000000000002</v>
      </c>
      <c r="M58" s="266">
        <v>1.823</v>
      </c>
      <c r="N58" s="266">
        <v>89.052999999999997</v>
      </c>
      <c r="O58" s="266" t="s">
        <v>294</v>
      </c>
      <c r="P58" s="266">
        <v>746.50699999999995</v>
      </c>
    </row>
    <row r="59" spans="1:16" x14ac:dyDescent="0.85">
      <c r="A59" s="271">
        <v>1993</v>
      </c>
      <c r="B59" s="266">
        <v>310.14800000000002</v>
      </c>
      <c r="C59" s="266">
        <v>71.102000000000004</v>
      </c>
      <c r="D59" s="266">
        <v>158.59800000000001</v>
      </c>
      <c r="E59" s="266">
        <v>541.779</v>
      </c>
      <c r="F59" s="266">
        <v>99.040999999999997</v>
      </c>
      <c r="G59" s="266">
        <v>21.146000000000001</v>
      </c>
      <c r="H59" s="266">
        <v>77.41</v>
      </c>
      <c r="I59" s="266">
        <v>6.4530000000000003</v>
      </c>
      <c r="J59" s="266">
        <v>3.1219999999999999</v>
      </c>
      <c r="K59" s="266">
        <v>2.9449999999999998</v>
      </c>
      <c r="L59" s="266">
        <v>0.34</v>
      </c>
      <c r="M59" s="266">
        <v>1.796</v>
      </c>
      <c r="N59" s="266">
        <v>92.066000000000003</v>
      </c>
      <c r="O59" s="266" t="s">
        <v>294</v>
      </c>
      <c r="P59" s="266">
        <v>754.58199999999999</v>
      </c>
    </row>
    <row r="60" spans="1:16" x14ac:dyDescent="0.85">
      <c r="A60" s="271">
        <v>1994</v>
      </c>
      <c r="B60" s="266">
        <v>311.41500000000002</v>
      </c>
      <c r="C60" s="266">
        <v>71.709999999999994</v>
      </c>
      <c r="D60" s="266">
        <v>164.78</v>
      </c>
      <c r="E60" s="266">
        <v>549.99800000000005</v>
      </c>
      <c r="F60" s="266">
        <v>99.147999999999996</v>
      </c>
      <c r="G60" s="266">
        <v>21.207999999999998</v>
      </c>
      <c r="H60" s="266">
        <v>78.040999999999997</v>
      </c>
      <c r="I60" s="266">
        <v>6.6829999999999998</v>
      </c>
      <c r="J60" s="266">
        <v>3.2879999999999998</v>
      </c>
      <c r="K60" s="266">
        <v>2.972</v>
      </c>
      <c r="L60" s="266">
        <v>0.33300000000000002</v>
      </c>
      <c r="M60" s="266">
        <v>1.7450000000000001</v>
      </c>
      <c r="N60" s="266">
        <v>93.061999999999998</v>
      </c>
      <c r="O60" s="266" t="s">
        <v>294</v>
      </c>
      <c r="P60" s="266">
        <v>763.96699999999998</v>
      </c>
    </row>
    <row r="61" spans="1:16" x14ac:dyDescent="0.85">
      <c r="A61" s="271">
        <v>1995</v>
      </c>
      <c r="B61" s="266">
        <v>311.38600000000002</v>
      </c>
      <c r="C61" s="266">
        <v>66.622</v>
      </c>
      <c r="D61" s="266">
        <v>174.482</v>
      </c>
      <c r="E61" s="266">
        <v>554.15</v>
      </c>
      <c r="F61" s="266">
        <v>99.515000000000001</v>
      </c>
      <c r="G61" s="266">
        <v>21.387</v>
      </c>
      <c r="H61" s="266">
        <v>78.561999999999998</v>
      </c>
      <c r="I61" s="266">
        <v>6.75</v>
      </c>
      <c r="J61" s="266">
        <v>3.5190000000000001</v>
      </c>
      <c r="K61" s="266">
        <v>2.968</v>
      </c>
      <c r="L61" s="266">
        <v>0.33300000000000002</v>
      </c>
      <c r="M61" s="266">
        <v>1.7310000000000001</v>
      </c>
      <c r="N61" s="266">
        <v>93.861999999999995</v>
      </c>
      <c r="O61" s="266" t="s">
        <v>294</v>
      </c>
      <c r="P61" s="266">
        <v>769.46299999999997</v>
      </c>
    </row>
    <row r="62" spans="1:16" x14ac:dyDescent="0.85">
      <c r="A62" s="271">
        <v>1996</v>
      </c>
      <c r="B62" s="266">
        <v>313.38200000000001</v>
      </c>
      <c r="C62" s="266">
        <v>72.518000000000001</v>
      </c>
      <c r="D62" s="266">
        <v>174.13499999999999</v>
      </c>
      <c r="E62" s="266">
        <v>561.69899999999996</v>
      </c>
      <c r="F62" s="266">
        <v>100.78400000000001</v>
      </c>
      <c r="G62" s="266">
        <v>21.11</v>
      </c>
      <c r="H62" s="266">
        <v>76.436999999999998</v>
      </c>
      <c r="I62" s="266">
        <v>6.8079999999999998</v>
      </c>
      <c r="J62" s="266">
        <v>3.5979999999999999</v>
      </c>
      <c r="K62" s="266">
        <v>2.8929999999999998</v>
      </c>
      <c r="L62" s="266">
        <v>0.33300000000000002</v>
      </c>
      <c r="M62" s="266">
        <v>1.6779999999999999</v>
      </c>
      <c r="N62" s="266">
        <v>91.745999999999995</v>
      </c>
      <c r="O62" s="266" t="s">
        <v>294</v>
      </c>
      <c r="P62" s="266">
        <v>775.89</v>
      </c>
    </row>
    <row r="63" spans="1:16" x14ac:dyDescent="0.85">
      <c r="A63" s="271">
        <v>1997</v>
      </c>
      <c r="B63" s="266">
        <v>313.62400000000002</v>
      </c>
      <c r="C63" s="266">
        <v>72.462999999999994</v>
      </c>
      <c r="D63" s="266">
        <v>176.471</v>
      </c>
      <c r="E63" s="266">
        <v>564.08299999999997</v>
      </c>
      <c r="F63" s="266">
        <v>99.715999999999994</v>
      </c>
      <c r="G63" s="266">
        <v>19.309999999999999</v>
      </c>
      <c r="H63" s="266">
        <v>79.415000000000006</v>
      </c>
      <c r="I63" s="266">
        <v>6.9240000000000004</v>
      </c>
      <c r="J63" s="266">
        <v>3.59</v>
      </c>
      <c r="K63" s="266">
        <v>2.8929999999999998</v>
      </c>
      <c r="L63" s="266">
        <v>0.33400000000000002</v>
      </c>
      <c r="M63" s="266">
        <v>1.61</v>
      </c>
      <c r="N63" s="266">
        <v>94.766000000000005</v>
      </c>
      <c r="O63" s="266" t="s">
        <v>294</v>
      </c>
      <c r="P63" s="266">
        <v>778.649</v>
      </c>
    </row>
    <row r="64" spans="1:16" x14ac:dyDescent="0.85">
      <c r="A64" s="271">
        <v>1998</v>
      </c>
      <c r="B64" s="266">
        <v>315.786</v>
      </c>
      <c r="C64" s="266">
        <v>66.281999999999996</v>
      </c>
      <c r="D64" s="266">
        <v>180.28800000000001</v>
      </c>
      <c r="E64" s="266">
        <v>563.87599999999998</v>
      </c>
      <c r="F64" s="266">
        <v>97.07</v>
      </c>
      <c r="G64" s="266">
        <v>19.518999999999998</v>
      </c>
      <c r="H64" s="266">
        <v>79.150999999999996</v>
      </c>
      <c r="I64" s="266">
        <v>6.8019999999999996</v>
      </c>
      <c r="J64" s="266">
        <v>3.694</v>
      </c>
      <c r="K64" s="266">
        <v>2.8929999999999998</v>
      </c>
      <c r="L64" s="266">
        <v>0.33500000000000002</v>
      </c>
      <c r="M64" s="266">
        <v>1.72</v>
      </c>
      <c r="N64" s="266">
        <v>94.594999999999999</v>
      </c>
      <c r="O64" s="266" t="s">
        <v>294</v>
      </c>
      <c r="P64" s="266">
        <v>775.86800000000005</v>
      </c>
    </row>
    <row r="65" spans="1:16" x14ac:dyDescent="0.85">
      <c r="A65" s="271">
        <v>1999</v>
      </c>
      <c r="B65" s="266">
        <v>315.49599999999998</v>
      </c>
      <c r="C65" s="266">
        <v>60.069000000000003</v>
      </c>
      <c r="D65" s="266">
        <v>195.119</v>
      </c>
      <c r="E65" s="266">
        <v>572.59299999999996</v>
      </c>
      <c r="F65" s="266">
        <v>97.411000000000001</v>
      </c>
      <c r="G65" s="266">
        <v>19.565000000000001</v>
      </c>
      <c r="H65" s="266">
        <v>79.393000000000001</v>
      </c>
      <c r="I65" s="266">
        <v>6.7949999999999999</v>
      </c>
      <c r="J65" s="266">
        <v>3.66</v>
      </c>
      <c r="K65" s="266">
        <v>2.8460000000000001</v>
      </c>
      <c r="L65" s="266">
        <v>0.38900000000000001</v>
      </c>
      <c r="M65" s="266">
        <v>2.2519999999999998</v>
      </c>
      <c r="N65" s="266">
        <v>95.334999999999994</v>
      </c>
      <c r="O65" s="266" t="s">
        <v>294</v>
      </c>
      <c r="P65" s="266">
        <v>785.92700000000002</v>
      </c>
    </row>
    <row r="66" spans="1:16" x14ac:dyDescent="0.85">
      <c r="A66" s="271">
        <v>2000</v>
      </c>
      <c r="B66" s="266">
        <v>315.113</v>
      </c>
      <c r="C66" s="266">
        <v>61.835999999999999</v>
      </c>
      <c r="D66" s="266">
        <v>219.59</v>
      </c>
      <c r="E66" s="266">
        <v>598.88099999999997</v>
      </c>
      <c r="F66" s="266">
        <v>97.86</v>
      </c>
      <c r="G66" s="266">
        <v>19.521999999999998</v>
      </c>
      <c r="H66" s="266">
        <v>79.358999999999995</v>
      </c>
      <c r="I66" s="266">
        <v>6.1479999999999997</v>
      </c>
      <c r="J66" s="266">
        <v>3.87</v>
      </c>
      <c r="K66" s="266">
        <v>2.7930000000000001</v>
      </c>
      <c r="L66" s="266">
        <v>0.38700000000000001</v>
      </c>
      <c r="M66" s="266">
        <v>2.3769999999999998</v>
      </c>
      <c r="N66" s="266">
        <v>94.933999999999997</v>
      </c>
      <c r="O66" s="266" t="s">
        <v>294</v>
      </c>
      <c r="P66" s="266">
        <v>811.72</v>
      </c>
    </row>
    <row r="67" spans="1:16" x14ac:dyDescent="0.85">
      <c r="A67" s="271">
        <v>2001</v>
      </c>
      <c r="B67" s="266">
        <v>314.23099999999999</v>
      </c>
      <c r="C67" s="266">
        <v>66.162000000000006</v>
      </c>
      <c r="D67" s="266">
        <v>252.833</v>
      </c>
      <c r="E67" s="266">
        <v>634.89700000000005</v>
      </c>
      <c r="F67" s="266">
        <v>98.159000000000006</v>
      </c>
      <c r="G67" s="266">
        <v>19.664000000000001</v>
      </c>
      <c r="H67" s="266">
        <v>78.917000000000002</v>
      </c>
      <c r="I67" s="266">
        <v>5.8819999999999997</v>
      </c>
      <c r="J67" s="266">
        <v>3.7490000000000001</v>
      </c>
      <c r="K67" s="266">
        <v>2.2160000000000002</v>
      </c>
      <c r="L67" s="266">
        <v>0.39200000000000002</v>
      </c>
      <c r="M67" s="266">
        <v>3.8639999999999999</v>
      </c>
      <c r="N67" s="266">
        <v>95.02</v>
      </c>
      <c r="O67" s="266" t="s">
        <v>294</v>
      </c>
      <c r="P67" s="266">
        <v>848.25900000000001</v>
      </c>
    </row>
    <row r="68" spans="1:16" x14ac:dyDescent="0.85">
      <c r="A68" s="271">
        <v>2002</v>
      </c>
      <c r="B68" s="266">
        <v>315.35000000000002</v>
      </c>
      <c r="C68" s="266">
        <v>59.651000000000003</v>
      </c>
      <c r="D68" s="266">
        <v>312.512</v>
      </c>
      <c r="E68" s="266">
        <v>689.52099999999996</v>
      </c>
      <c r="F68" s="266">
        <v>98.656999999999996</v>
      </c>
      <c r="G68" s="266">
        <v>20.370999999999999</v>
      </c>
      <c r="H68" s="266">
        <v>79.356999999999999</v>
      </c>
      <c r="I68" s="266">
        <v>5.8449999999999998</v>
      </c>
      <c r="J68" s="266">
        <v>3.7989999999999999</v>
      </c>
      <c r="K68" s="266">
        <v>2.2519999999999998</v>
      </c>
      <c r="L68" s="266">
        <v>0.39700000000000002</v>
      </c>
      <c r="M68" s="266">
        <v>4.4160000000000004</v>
      </c>
      <c r="N68" s="266">
        <v>96.066000000000003</v>
      </c>
      <c r="O68" s="266" t="s">
        <v>294</v>
      </c>
      <c r="P68" s="266">
        <v>905.30200000000002</v>
      </c>
    </row>
    <row r="69" spans="1:16" x14ac:dyDescent="0.85">
      <c r="A69" s="271">
        <v>2003</v>
      </c>
      <c r="B69" s="266">
        <v>313.01900000000001</v>
      </c>
      <c r="C69" s="266">
        <v>60.73</v>
      </c>
      <c r="D69" s="266">
        <v>355.44099999999997</v>
      </c>
      <c r="E69" s="266">
        <v>731.18399999999997</v>
      </c>
      <c r="F69" s="266">
        <v>99.209000000000003</v>
      </c>
      <c r="G69" s="266">
        <v>20.521999999999998</v>
      </c>
      <c r="H69" s="266">
        <v>78.694000000000003</v>
      </c>
      <c r="I69" s="266">
        <v>5.8710000000000004</v>
      </c>
      <c r="J69" s="266">
        <v>3.7570000000000001</v>
      </c>
      <c r="K69" s="266">
        <v>2.1339999999999999</v>
      </c>
      <c r="L69" s="266">
        <v>0.39700000000000002</v>
      </c>
      <c r="M69" s="266">
        <v>5.9950000000000001</v>
      </c>
      <c r="N69" s="266">
        <v>96.847999999999999</v>
      </c>
      <c r="O69" s="266" t="s">
        <v>294</v>
      </c>
      <c r="P69" s="266">
        <v>948.44600000000003</v>
      </c>
    </row>
    <row r="70" spans="1:16" x14ac:dyDescent="0.85">
      <c r="A70" s="271">
        <v>2004</v>
      </c>
      <c r="B70" s="266">
        <v>313.02</v>
      </c>
      <c r="C70" s="266">
        <v>59.12</v>
      </c>
      <c r="D70" s="266">
        <v>371.01100000000002</v>
      </c>
      <c r="E70" s="266">
        <v>745.44799999999998</v>
      </c>
      <c r="F70" s="266">
        <v>99.628</v>
      </c>
      <c r="G70" s="266">
        <v>20.765000000000001</v>
      </c>
      <c r="H70" s="266">
        <v>77.641000000000005</v>
      </c>
      <c r="I70" s="266">
        <v>6.1820000000000004</v>
      </c>
      <c r="J70" s="266">
        <v>3.5289999999999999</v>
      </c>
      <c r="K70" s="266">
        <v>2.1520000000000001</v>
      </c>
      <c r="L70" s="266">
        <v>0.39800000000000002</v>
      </c>
      <c r="M70" s="266">
        <v>6.4560000000000004</v>
      </c>
      <c r="N70" s="266">
        <v>96.358000000000004</v>
      </c>
      <c r="O70" s="266" t="s">
        <v>294</v>
      </c>
      <c r="P70" s="266">
        <v>962.94600000000003</v>
      </c>
    </row>
    <row r="71" spans="1:16" x14ac:dyDescent="0.85">
      <c r="A71" s="271">
        <v>2005</v>
      </c>
      <c r="B71" s="266">
        <v>313.38</v>
      </c>
      <c r="C71" s="266">
        <v>58.548000000000002</v>
      </c>
      <c r="D71" s="266">
        <v>383.06</v>
      </c>
      <c r="E71" s="266">
        <v>757.05100000000004</v>
      </c>
      <c r="F71" s="266">
        <v>99.988</v>
      </c>
      <c r="G71" s="266">
        <v>21.347000000000001</v>
      </c>
      <c r="H71" s="266">
        <v>77.540000000000006</v>
      </c>
      <c r="I71" s="266">
        <v>6.194</v>
      </c>
      <c r="J71" s="266">
        <v>3.6080000000000001</v>
      </c>
      <c r="K71" s="266">
        <v>2.286</v>
      </c>
      <c r="L71" s="266">
        <v>0.41099999999999998</v>
      </c>
      <c r="M71" s="266">
        <v>8.7059999999999995</v>
      </c>
      <c r="N71" s="266">
        <v>98.745000000000005</v>
      </c>
      <c r="O71" s="266" t="s">
        <v>294</v>
      </c>
      <c r="P71" s="266">
        <v>978.01800000000003</v>
      </c>
    </row>
    <row r="72" spans="1:16" x14ac:dyDescent="0.85">
      <c r="A72" s="271">
        <v>2006</v>
      </c>
      <c r="B72" s="266">
        <v>312.95600000000002</v>
      </c>
      <c r="C72" s="266">
        <v>58.097000000000001</v>
      </c>
      <c r="D72" s="266">
        <v>388.29399999999998</v>
      </c>
      <c r="E72" s="266">
        <v>761.60299999999995</v>
      </c>
      <c r="F72" s="266">
        <v>100.334</v>
      </c>
      <c r="G72" s="266">
        <v>21.460999999999999</v>
      </c>
      <c r="H72" s="266">
        <v>77.822000000000003</v>
      </c>
      <c r="I72" s="266">
        <v>6.3719999999999999</v>
      </c>
      <c r="J72" s="266">
        <v>3.7269999999999999</v>
      </c>
      <c r="K72" s="266">
        <v>2.274</v>
      </c>
      <c r="L72" s="266">
        <v>0.41099999999999998</v>
      </c>
      <c r="M72" s="266">
        <v>11.329000000000001</v>
      </c>
      <c r="N72" s="266">
        <v>101.935</v>
      </c>
      <c r="O72" s="266" t="s">
        <v>294</v>
      </c>
      <c r="P72" s="266">
        <v>986.21400000000006</v>
      </c>
    </row>
    <row r="73" spans="1:16" x14ac:dyDescent="0.85">
      <c r="A73" s="271">
        <v>2007</v>
      </c>
      <c r="B73" s="266">
        <v>312.73899999999998</v>
      </c>
      <c r="C73" s="266">
        <v>56.067999999999998</v>
      </c>
      <c r="D73" s="266">
        <v>392.875</v>
      </c>
      <c r="E73" s="266">
        <v>763.99599999999998</v>
      </c>
      <c r="F73" s="266">
        <v>100.26600000000001</v>
      </c>
      <c r="G73" s="266">
        <v>21.885999999999999</v>
      </c>
      <c r="H73" s="266">
        <v>77.885000000000005</v>
      </c>
      <c r="I73" s="266">
        <v>6.7039999999999997</v>
      </c>
      <c r="J73" s="266">
        <v>4.1340000000000003</v>
      </c>
      <c r="K73" s="266">
        <v>2.214</v>
      </c>
      <c r="L73" s="266">
        <v>0.502</v>
      </c>
      <c r="M73" s="266">
        <v>16.515000000000001</v>
      </c>
      <c r="N73" s="266">
        <v>107.95399999999999</v>
      </c>
      <c r="O73" s="266" t="s">
        <v>294</v>
      </c>
      <c r="P73" s="266">
        <v>994.89</v>
      </c>
    </row>
    <row r="74" spans="1:16" x14ac:dyDescent="0.85">
      <c r="A74" s="271">
        <v>2008</v>
      </c>
      <c r="B74" s="266">
        <v>313.322</v>
      </c>
      <c r="C74" s="266">
        <v>57.445</v>
      </c>
      <c r="D74" s="266">
        <v>397.18400000000003</v>
      </c>
      <c r="E74" s="266">
        <v>769.94500000000005</v>
      </c>
      <c r="F74" s="266">
        <v>100.755</v>
      </c>
      <c r="G74" s="266">
        <v>21.858000000000001</v>
      </c>
      <c r="H74" s="266">
        <v>77.930000000000007</v>
      </c>
      <c r="I74" s="266">
        <v>6.8639999999999999</v>
      </c>
      <c r="J74" s="266">
        <v>4.1859999999999999</v>
      </c>
      <c r="K74" s="266">
        <v>2.2290000000000001</v>
      </c>
      <c r="L74" s="266">
        <v>0.53600000000000003</v>
      </c>
      <c r="M74" s="266">
        <v>24.651</v>
      </c>
      <c r="N74" s="266">
        <v>116.396</v>
      </c>
      <c r="O74" s="266" t="s">
        <v>294</v>
      </c>
      <c r="P74" s="266">
        <v>1010.171</v>
      </c>
    </row>
    <row r="75" spans="1:16" x14ac:dyDescent="0.85">
      <c r="A75" s="271">
        <v>2009</v>
      </c>
      <c r="B75" s="266">
        <v>314.29399999999998</v>
      </c>
      <c r="C75" s="266">
        <v>56.780999999999999</v>
      </c>
      <c r="D75" s="266">
        <v>400.93</v>
      </c>
      <c r="E75" s="266">
        <v>773.93700000000001</v>
      </c>
      <c r="F75" s="266">
        <v>101.004</v>
      </c>
      <c r="G75" s="266">
        <v>22.16</v>
      </c>
      <c r="H75" s="266">
        <v>78.518000000000001</v>
      </c>
      <c r="I75" s="266">
        <v>6.9390000000000001</v>
      </c>
      <c r="J75" s="266">
        <v>4.3170000000000002</v>
      </c>
      <c r="K75" s="266">
        <v>2.3820000000000001</v>
      </c>
      <c r="L75" s="266">
        <v>0.61899999999999999</v>
      </c>
      <c r="M75" s="266">
        <v>34.295999999999999</v>
      </c>
      <c r="N75" s="266">
        <v>127.07</v>
      </c>
      <c r="O75" s="266" t="s">
        <v>294</v>
      </c>
      <c r="P75" s="266">
        <v>1025.4000000000001</v>
      </c>
    </row>
    <row r="76" spans="1:16" x14ac:dyDescent="0.85">
      <c r="A76" s="271">
        <v>2010</v>
      </c>
      <c r="B76" s="266">
        <v>317.339</v>
      </c>
      <c r="C76" s="266">
        <v>55.646999999999998</v>
      </c>
      <c r="D76" s="266">
        <v>405.11200000000002</v>
      </c>
      <c r="E76" s="266">
        <v>780.26</v>
      </c>
      <c r="F76" s="266">
        <v>101.167</v>
      </c>
      <c r="G76" s="266">
        <v>22.199000000000002</v>
      </c>
      <c r="H76" s="266">
        <v>78.825000000000003</v>
      </c>
      <c r="I76" s="266">
        <v>7.0369999999999999</v>
      </c>
      <c r="J76" s="266">
        <v>4.3689999999999998</v>
      </c>
      <c r="K76" s="266">
        <v>2.4049999999999998</v>
      </c>
      <c r="L76" s="266">
        <v>0.86599999999999999</v>
      </c>
      <c r="M76" s="266">
        <v>39.134999999999998</v>
      </c>
      <c r="N76" s="266">
        <v>132.636</v>
      </c>
      <c r="O76" s="266">
        <v>2.8000000000000001E-2</v>
      </c>
      <c r="P76" s="266">
        <v>1039.0619999999999</v>
      </c>
    </row>
    <row r="77" spans="1:16" x14ac:dyDescent="0.85">
      <c r="A77" s="271">
        <v>2011</v>
      </c>
      <c r="B77" s="266">
        <v>317.64</v>
      </c>
      <c r="C77" s="266">
        <v>51.481999999999999</v>
      </c>
      <c r="D77" s="266">
        <v>415.19099999999997</v>
      </c>
      <c r="E77" s="266">
        <v>786.24699999999996</v>
      </c>
      <c r="F77" s="266">
        <v>101.419</v>
      </c>
      <c r="G77" s="266">
        <v>22.292999999999999</v>
      </c>
      <c r="H77" s="266">
        <v>78.652000000000001</v>
      </c>
      <c r="I77" s="266">
        <v>7.077</v>
      </c>
      <c r="J77" s="266">
        <v>4.5359999999999996</v>
      </c>
      <c r="K77" s="266">
        <v>2.4089999999999998</v>
      </c>
      <c r="L77" s="266">
        <v>1.524</v>
      </c>
      <c r="M77" s="266">
        <v>45.676000000000002</v>
      </c>
      <c r="N77" s="266">
        <v>139.87299999999999</v>
      </c>
      <c r="O77" s="266">
        <v>6.8000000000000005E-2</v>
      </c>
      <c r="P77" s="266">
        <v>1051.251</v>
      </c>
    </row>
    <row r="78" spans="1:16" x14ac:dyDescent="0.85">
      <c r="A78" s="271">
        <v>2012</v>
      </c>
      <c r="B78" s="266">
        <v>309.68</v>
      </c>
      <c r="C78" s="266">
        <v>47.167000000000002</v>
      </c>
      <c r="D78" s="266">
        <v>422.36399999999998</v>
      </c>
      <c r="E78" s="266">
        <v>781.15800000000002</v>
      </c>
      <c r="F78" s="266">
        <v>101.88500000000001</v>
      </c>
      <c r="G78" s="266">
        <v>22.367999999999999</v>
      </c>
      <c r="H78" s="266">
        <v>78.738</v>
      </c>
      <c r="I78" s="266">
        <v>7.508</v>
      </c>
      <c r="J78" s="266">
        <v>4.8109999999999999</v>
      </c>
      <c r="K78" s="266">
        <v>2.5920000000000001</v>
      </c>
      <c r="L78" s="266">
        <v>3.17</v>
      </c>
      <c r="M78" s="266">
        <v>59.075000000000003</v>
      </c>
      <c r="N78" s="266">
        <v>155.893</v>
      </c>
      <c r="O78" s="266">
        <v>0.14199999999999999</v>
      </c>
      <c r="P78" s="266">
        <v>1063.0329999999999</v>
      </c>
    </row>
    <row r="79" spans="1:16" x14ac:dyDescent="0.85">
      <c r="A79" s="271">
        <v>2013</v>
      </c>
      <c r="B79" s="266">
        <v>303.30599999999998</v>
      </c>
      <c r="C79" s="266">
        <v>43.523000000000003</v>
      </c>
      <c r="D79" s="266">
        <v>425.39</v>
      </c>
      <c r="E79" s="266">
        <v>774.327</v>
      </c>
      <c r="F79" s="266">
        <v>99.24</v>
      </c>
      <c r="G79" s="266">
        <v>22.388999999999999</v>
      </c>
      <c r="H79" s="266">
        <v>79.2</v>
      </c>
      <c r="I79" s="266">
        <v>8.3539999999999992</v>
      </c>
      <c r="J79" s="266">
        <v>5.0430000000000001</v>
      </c>
      <c r="K79" s="266">
        <v>2.6070000000000002</v>
      </c>
      <c r="L79" s="266">
        <v>6.6230000000000002</v>
      </c>
      <c r="M79" s="266">
        <v>59.972999999999999</v>
      </c>
      <c r="N79" s="266">
        <v>161.80000000000001</v>
      </c>
      <c r="O79" s="266">
        <v>0.14599999999999999</v>
      </c>
      <c r="P79" s="266">
        <v>1060.0640000000001</v>
      </c>
    </row>
    <row r="80" spans="1:16" x14ac:dyDescent="0.85">
      <c r="A80" s="271">
        <v>2014</v>
      </c>
      <c r="B80" s="266">
        <v>299.09399999999999</v>
      </c>
      <c r="C80" s="266">
        <v>41.134999999999998</v>
      </c>
      <c r="D80" s="266">
        <v>432.15</v>
      </c>
      <c r="E80" s="266">
        <v>774.29399999999998</v>
      </c>
      <c r="F80" s="266">
        <v>98.569000000000003</v>
      </c>
      <c r="G80" s="266">
        <v>22.48</v>
      </c>
      <c r="H80" s="266">
        <v>79.683000000000007</v>
      </c>
      <c r="I80" s="266">
        <v>8.3680000000000003</v>
      </c>
      <c r="J80" s="266">
        <v>5.1669999999999998</v>
      </c>
      <c r="K80" s="266">
        <v>2.5139999999999998</v>
      </c>
      <c r="L80" s="266">
        <v>10.323</v>
      </c>
      <c r="M80" s="266">
        <v>64.231999999999999</v>
      </c>
      <c r="N80" s="266">
        <v>170.286</v>
      </c>
      <c r="O80" s="266">
        <v>0.156</v>
      </c>
      <c r="P80" s="266">
        <v>1068.422</v>
      </c>
    </row>
    <row r="81" spans="1:16" x14ac:dyDescent="0.85">
      <c r="A81" s="271">
        <v>2015</v>
      </c>
      <c r="B81" s="266">
        <v>279.72000000000003</v>
      </c>
      <c r="C81" s="266">
        <v>36.83</v>
      </c>
      <c r="D81" s="266">
        <v>439.42500000000001</v>
      </c>
      <c r="E81" s="266">
        <v>758.476</v>
      </c>
      <c r="F81" s="266">
        <v>98.671999999999997</v>
      </c>
      <c r="G81" s="266">
        <v>22.57</v>
      </c>
      <c r="H81" s="266">
        <v>79.67</v>
      </c>
      <c r="I81" s="266">
        <v>8.9689999999999994</v>
      </c>
      <c r="J81" s="266">
        <v>5.125</v>
      </c>
      <c r="K81" s="266">
        <v>2.5419999999999998</v>
      </c>
      <c r="L81" s="266">
        <v>13.663</v>
      </c>
      <c r="M81" s="266">
        <v>72.572999999999993</v>
      </c>
      <c r="N81" s="266">
        <v>182.541</v>
      </c>
      <c r="O81" s="266">
        <v>0.29199999999999998</v>
      </c>
      <c r="P81" s="266">
        <v>1064.0550000000001</v>
      </c>
    </row>
    <row r="82" spans="1:16" x14ac:dyDescent="0.85">
      <c r="A82" s="271">
        <v>2016</v>
      </c>
      <c r="B82" s="266">
        <v>266.62</v>
      </c>
      <c r="C82" s="266">
        <v>34.381999999999998</v>
      </c>
      <c r="D82" s="266">
        <v>446.82299999999998</v>
      </c>
      <c r="E82" s="266">
        <v>750.28200000000004</v>
      </c>
      <c r="F82" s="266">
        <v>99.564999999999998</v>
      </c>
      <c r="G82" s="266">
        <v>22.779</v>
      </c>
      <c r="H82" s="266">
        <v>79.912999999999997</v>
      </c>
      <c r="I82" s="266">
        <v>8.9359999999999999</v>
      </c>
      <c r="J82" s="266">
        <v>5.0890000000000004</v>
      </c>
      <c r="K82" s="266">
        <v>2.5169999999999999</v>
      </c>
      <c r="L82" s="266">
        <v>21.951000000000001</v>
      </c>
      <c r="M82" s="266">
        <v>81.287000000000006</v>
      </c>
      <c r="N82" s="266">
        <v>199.69200000000001</v>
      </c>
      <c r="O82" s="266">
        <v>0.55900000000000005</v>
      </c>
      <c r="P82" s="266">
        <v>1074.3330000000001</v>
      </c>
    </row>
    <row r="83" spans="1:16" x14ac:dyDescent="0.85">
      <c r="A83" s="271">
        <v>2017</v>
      </c>
      <c r="B83" s="266">
        <v>256.54700000000003</v>
      </c>
      <c r="C83" s="266">
        <v>33.307000000000002</v>
      </c>
      <c r="D83" s="266">
        <v>456.012</v>
      </c>
      <c r="E83" s="266">
        <v>748.24099999999999</v>
      </c>
      <c r="F83" s="266">
        <v>99.629000000000005</v>
      </c>
      <c r="G83" s="266">
        <v>22.81</v>
      </c>
      <c r="H83" s="266">
        <v>79.795000000000002</v>
      </c>
      <c r="I83" s="266">
        <v>8.8309999999999995</v>
      </c>
      <c r="J83" s="266">
        <v>5.13</v>
      </c>
      <c r="K83" s="266">
        <v>2.4830000000000001</v>
      </c>
      <c r="L83" s="266">
        <v>26.966999999999999</v>
      </c>
      <c r="M83" s="266">
        <v>87.597999999999999</v>
      </c>
      <c r="N83" s="266">
        <v>210.803</v>
      </c>
      <c r="O83" s="266">
        <v>0.66500000000000004</v>
      </c>
      <c r="P83" s="266">
        <v>1084.3699999999999</v>
      </c>
    </row>
    <row r="84" spans="1:16" x14ac:dyDescent="0.85">
      <c r="A84" s="271">
        <v>2018</v>
      </c>
      <c r="B84" s="266">
        <v>242.786</v>
      </c>
      <c r="C84" s="266">
        <v>32.218000000000004</v>
      </c>
      <c r="D84" s="266">
        <v>470.23700000000002</v>
      </c>
      <c r="E84" s="266">
        <v>747.78499999999997</v>
      </c>
      <c r="F84" s="266">
        <v>99.433000000000007</v>
      </c>
      <c r="G84" s="266">
        <v>22.83</v>
      </c>
      <c r="H84" s="266">
        <v>79.872</v>
      </c>
      <c r="I84" s="266">
        <v>8.6950000000000003</v>
      </c>
      <c r="J84" s="266">
        <v>5.0389999999999997</v>
      </c>
      <c r="K84" s="266">
        <v>2.444</v>
      </c>
      <c r="L84" s="266">
        <v>31.878</v>
      </c>
      <c r="M84" s="266">
        <v>94.418000000000006</v>
      </c>
      <c r="N84" s="266">
        <v>222.345</v>
      </c>
      <c r="O84" s="266">
        <v>0.85199999999999998</v>
      </c>
      <c r="P84" s="266">
        <v>1094.74</v>
      </c>
    </row>
    <row r="85" spans="1:16" x14ac:dyDescent="0.85">
      <c r="A85" s="271">
        <v>2019</v>
      </c>
      <c r="B85" s="266">
        <v>228.65700000000001</v>
      </c>
      <c r="C85" s="266">
        <v>31.401</v>
      </c>
      <c r="D85" s="266">
        <v>476.56700000000001</v>
      </c>
      <c r="E85" s="266">
        <v>739.125</v>
      </c>
      <c r="F85" s="266">
        <v>98.119</v>
      </c>
      <c r="G85" s="266">
        <v>22.777999999999999</v>
      </c>
      <c r="H85" s="266">
        <v>79.772999999999996</v>
      </c>
      <c r="I85" s="266">
        <v>8.375</v>
      </c>
      <c r="J85" s="266">
        <v>4.7389999999999999</v>
      </c>
      <c r="K85" s="266">
        <v>2.5550000000000002</v>
      </c>
      <c r="L85" s="266">
        <v>37.468000000000004</v>
      </c>
      <c r="M85" s="266">
        <v>103.571</v>
      </c>
      <c r="N85" s="266">
        <v>236.48099999999999</v>
      </c>
      <c r="O85" s="266">
        <v>1.0149999999999999</v>
      </c>
      <c r="P85" s="266">
        <v>1099.1099999999999</v>
      </c>
    </row>
    <row r="86" spans="1:16" x14ac:dyDescent="0.85">
      <c r="A86" s="271">
        <v>2020</v>
      </c>
      <c r="B86" s="266">
        <v>215.554</v>
      </c>
      <c r="C86" s="266">
        <v>27.57</v>
      </c>
      <c r="D86" s="266">
        <v>485.80700000000002</v>
      </c>
      <c r="E86" s="266">
        <v>731.20699999999999</v>
      </c>
      <c r="F86" s="266">
        <v>96.501000000000005</v>
      </c>
      <c r="G86" s="266">
        <v>23.015999999999998</v>
      </c>
      <c r="H86" s="266">
        <v>79.924000000000007</v>
      </c>
      <c r="I86" s="266">
        <v>8.327</v>
      </c>
      <c r="J86" s="266">
        <v>4.6230000000000002</v>
      </c>
      <c r="K86" s="266">
        <v>2.5720000000000001</v>
      </c>
      <c r="L86" s="266">
        <v>48.054000000000002</v>
      </c>
      <c r="M86" s="266">
        <v>118.379</v>
      </c>
      <c r="N86" s="266">
        <v>261.87900000000002</v>
      </c>
      <c r="O86" s="266">
        <v>1.508</v>
      </c>
      <c r="P86" s="266">
        <v>1115.682</v>
      </c>
    </row>
    <row r="87" spans="1:16" x14ac:dyDescent="0.85">
      <c r="A87" s="271">
        <v>2021</v>
      </c>
      <c r="B87" s="266">
        <v>209.82599999999999</v>
      </c>
      <c r="C87" s="266">
        <v>28.206</v>
      </c>
      <c r="D87" s="266">
        <v>491.87</v>
      </c>
      <c r="E87" s="266">
        <v>731.78899999999999</v>
      </c>
      <c r="F87" s="266">
        <v>95.546000000000006</v>
      </c>
      <c r="G87" s="266">
        <v>23.007999999999999</v>
      </c>
      <c r="H87" s="266">
        <v>79.91</v>
      </c>
      <c r="I87" s="266">
        <v>7.923</v>
      </c>
      <c r="J87" s="266">
        <v>4.4690000000000003</v>
      </c>
      <c r="K87" s="266">
        <v>2.597</v>
      </c>
      <c r="L87" s="266">
        <v>61.55</v>
      </c>
      <c r="M87" s="266">
        <v>132.75299999999999</v>
      </c>
      <c r="N87" s="266">
        <v>289.202</v>
      </c>
      <c r="O87" s="266">
        <v>4.7469999999999999</v>
      </c>
      <c r="P87" s="266">
        <v>1145.857</v>
      </c>
    </row>
    <row r="88" spans="1:16" x14ac:dyDescent="0.85">
      <c r="A88" s="271">
        <v>2022</v>
      </c>
      <c r="B88" s="266">
        <v>189.316</v>
      </c>
      <c r="C88" s="266">
        <v>30.774999999999999</v>
      </c>
      <c r="D88" s="266">
        <v>502.39699999999999</v>
      </c>
      <c r="E88" s="266">
        <v>724.21699999999998</v>
      </c>
      <c r="F88" s="266">
        <v>94.659000000000006</v>
      </c>
      <c r="G88" s="266">
        <v>23.044</v>
      </c>
      <c r="H88" s="266">
        <v>80.067999999999998</v>
      </c>
      <c r="I88" s="266">
        <v>7.8049999999999997</v>
      </c>
      <c r="J88" s="266">
        <v>4.3220000000000001</v>
      </c>
      <c r="K88" s="266">
        <v>2.649</v>
      </c>
      <c r="L88" s="266">
        <v>72.866</v>
      </c>
      <c r="M88" s="266">
        <v>141.40199999999999</v>
      </c>
      <c r="N88" s="266">
        <v>309.11200000000002</v>
      </c>
      <c r="O88" s="266">
        <v>8.98</v>
      </c>
      <c r="P88" s="266">
        <v>1161.4359999999999</v>
      </c>
    </row>
    <row r="89" spans="1:16" x14ac:dyDescent="0.85">
      <c r="A89" s="271">
        <v>2023</v>
      </c>
      <c r="B89" s="266">
        <v>178.44200000000001</v>
      </c>
      <c r="C89" s="266">
        <v>29.440999999999999</v>
      </c>
      <c r="D89" s="266">
        <v>507.536</v>
      </c>
      <c r="E89" s="266">
        <v>717.28499999999997</v>
      </c>
      <c r="F89" s="266">
        <v>95.712000000000003</v>
      </c>
      <c r="G89" s="266">
        <v>23.146999999999998</v>
      </c>
      <c r="H89" s="266">
        <v>79.984999999999999</v>
      </c>
      <c r="I89" s="266">
        <v>7.6929999999999996</v>
      </c>
      <c r="J89" s="266">
        <v>4.133</v>
      </c>
      <c r="K89" s="266">
        <v>2.6960000000000002</v>
      </c>
      <c r="L89" s="266">
        <v>92.007999999999996</v>
      </c>
      <c r="M89" s="266">
        <v>147.44499999999999</v>
      </c>
      <c r="N89" s="266">
        <v>333.96</v>
      </c>
      <c r="O89" s="266">
        <v>15.994999999999999</v>
      </c>
      <c r="P89" s="266">
        <v>1187.5550000000001</v>
      </c>
    </row>
    <row r="90" spans="1:16" x14ac:dyDescent="0.85">
      <c r="A90" s="271">
        <v>2024</v>
      </c>
      <c r="B90" s="266">
        <v>173.90600000000001</v>
      </c>
      <c r="C90" s="266">
        <v>29.297000000000001</v>
      </c>
      <c r="D90" s="266">
        <v>507.81299999999999</v>
      </c>
      <c r="E90" s="266">
        <v>712.85500000000002</v>
      </c>
      <c r="F90" s="266">
        <v>96.771000000000001</v>
      </c>
      <c r="G90" s="266">
        <v>23.18</v>
      </c>
      <c r="H90" s="266">
        <v>79.828999999999994</v>
      </c>
      <c r="I90" s="266">
        <v>7.6150000000000002</v>
      </c>
      <c r="J90" s="266">
        <v>4.0209999999999999</v>
      </c>
      <c r="K90" s="266">
        <v>2.734</v>
      </c>
      <c r="L90" s="266">
        <v>122.568</v>
      </c>
      <c r="M90" s="266">
        <v>152.71100000000001</v>
      </c>
      <c r="N90" s="266">
        <v>369.47899999999998</v>
      </c>
      <c r="O90" s="266">
        <v>26.076000000000001</v>
      </c>
      <c r="P90" s="266">
        <v>1229.8130000000001</v>
      </c>
    </row>
  </sheetData>
  <mergeCells count="1">
    <mergeCell ref="B2:F2"/>
  </mergeCells>
  <hyperlinks>
    <hyperlink ref="A6" r:id="rId1" tooltip="Note: Information about data precision." xr:uid="{DB2CFE4B-0D86-45D6-8967-EBC66D0C003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489-44CB-4CFD-A3A5-0FAB3DE9F821}">
  <sheetPr codeName="Sheet9"/>
  <dimension ref="A1:Q80"/>
  <sheetViews>
    <sheetView workbookViewId="0">
      <selection activeCell="F5" sqref="F5"/>
    </sheetView>
  </sheetViews>
  <sheetFormatPr defaultRowHeight="14.6" x14ac:dyDescent="0.85"/>
  <cols>
    <col min="1" max="1" width="11.265625" customWidth="1"/>
    <col min="2" max="2" width="5.23046875" customWidth="1"/>
    <col min="7" max="7" width="11.53515625" customWidth="1"/>
    <col min="8" max="8" width="13.23046875" customWidth="1"/>
  </cols>
  <sheetData>
    <row r="1" spans="1:17" ht="14.65" x14ac:dyDescent="0.85">
      <c r="A1" t="s">
        <v>295</v>
      </c>
    </row>
    <row r="2" spans="1:17" ht="14.65" x14ac:dyDescent="0.85">
      <c r="B2">
        <v>0</v>
      </c>
      <c r="C2" s="272">
        <v>1</v>
      </c>
      <c r="D2" s="272">
        <v>2</v>
      </c>
      <c r="E2" s="272">
        <v>3</v>
      </c>
      <c r="F2" s="272">
        <v>4</v>
      </c>
      <c r="G2" s="272">
        <v>5</v>
      </c>
      <c r="H2" s="272">
        <v>6</v>
      </c>
      <c r="I2" s="272">
        <v>7</v>
      </c>
      <c r="J2" s="272">
        <v>8</v>
      </c>
      <c r="K2" s="272">
        <v>9</v>
      </c>
      <c r="L2" s="272">
        <v>10</v>
      </c>
      <c r="M2" s="272">
        <v>11</v>
      </c>
      <c r="N2" s="272">
        <v>12</v>
      </c>
      <c r="O2" s="272">
        <v>13</v>
      </c>
      <c r="P2" s="272">
        <v>14</v>
      </c>
      <c r="Q2" s="272">
        <v>15</v>
      </c>
    </row>
    <row r="3" spans="1:17" s="9" customFormat="1" ht="40.9" x14ac:dyDescent="0.85">
      <c r="A3" s="273" t="s">
        <v>277</v>
      </c>
      <c r="B3" s="273" t="s">
        <v>296</v>
      </c>
      <c r="C3" s="273" t="s">
        <v>297</v>
      </c>
      <c r="D3" s="273" t="s">
        <v>298</v>
      </c>
      <c r="E3" s="273" t="s">
        <v>299</v>
      </c>
      <c r="F3" s="273" t="s">
        <v>300</v>
      </c>
      <c r="G3" s="273" t="s">
        <v>301</v>
      </c>
      <c r="H3" s="273" t="s">
        <v>302</v>
      </c>
      <c r="I3" s="273" t="s">
        <v>303</v>
      </c>
      <c r="J3" s="273" t="s">
        <v>304</v>
      </c>
      <c r="K3" s="273" t="s">
        <v>43</v>
      </c>
      <c r="L3" s="273" t="s">
        <v>305</v>
      </c>
      <c r="M3" s="273" t="s">
        <v>2</v>
      </c>
      <c r="N3" s="273" t="s">
        <v>306</v>
      </c>
      <c r="O3" s="273" t="s">
        <v>307</v>
      </c>
      <c r="P3" s="273" t="s">
        <v>308</v>
      </c>
    </row>
    <row r="4" spans="1:17" s="1" customFormat="1" ht="14.65" x14ac:dyDescent="0.85">
      <c r="A4" s="1" t="s">
        <v>309</v>
      </c>
      <c r="B4" s="1">
        <f>MAX(B5:B80)</f>
        <v>5.7933150075872757E-3</v>
      </c>
      <c r="C4" s="1">
        <f t="shared" ref="C4:P4" si="0">MAX(C5:C80)</f>
        <v>7.599015324337214E-3</v>
      </c>
      <c r="D4" s="1">
        <f t="shared" si="0"/>
        <v>6.5921648245557837E-2</v>
      </c>
      <c r="E4" s="1">
        <f t="shared" si="0"/>
        <v>9.3247588424437255E-2</v>
      </c>
      <c r="F4" s="1">
        <f t="shared" si="0"/>
        <v>1.9602988260405553E-2</v>
      </c>
      <c r="G4" s="1">
        <f t="shared" si="0"/>
        <v>3.7186523368166677E-3</v>
      </c>
      <c r="H4" s="1">
        <f t="shared" si="0"/>
        <v>4.2907180385288957E-2</v>
      </c>
      <c r="I4" s="1">
        <f t="shared" si="0"/>
        <v>6.9285408501282217E-3</v>
      </c>
      <c r="J4" s="1">
        <f t="shared" si="0"/>
        <v>2.5644329361302416E-3</v>
      </c>
      <c r="K4" s="1">
        <f t="shared" si="0"/>
        <v>1.2607422862660829E-3</v>
      </c>
      <c r="L4" s="1">
        <f t="shared" si="0"/>
        <v>2.4849306357958487E-2</v>
      </c>
      <c r="M4" s="1">
        <f t="shared" si="0"/>
        <v>1.3272599181487203E-2</v>
      </c>
      <c r="N4" s="1">
        <f t="shared" si="0"/>
        <v>4.2907180385288984E-2</v>
      </c>
      <c r="O4" s="1">
        <f>MAX(O5:O80)</f>
        <v>8.1971811974666069E-3</v>
      </c>
      <c r="P4" s="1">
        <f t="shared" si="0"/>
        <v>0.12434325744308233</v>
      </c>
    </row>
    <row r="5" spans="1:17" ht="14.65" x14ac:dyDescent="0.85">
      <c r="A5" s="271">
        <v>1949</v>
      </c>
      <c r="B5">
        <f>IF(AND(ISNUMBER('Total GW EIA'!B15),ISNUMBER('Total GW EIA'!B14),'Total GW EIA'!B14&gt;0),('Total GW EIA'!B15 - 'Total GW EIA'!B14)/'Total GW EIA'!$P15,0)</f>
        <v>0</v>
      </c>
      <c r="C5">
        <f>IF(AND(ISNUMBER('Total GW EIA'!C15),ISNUMBER('Total GW EIA'!C14),'Total GW EIA'!C14&gt;0),('Total GW EIA'!C15 - 'Total GW EIA'!C14)/'Total GW EIA'!$P15,0)</f>
        <v>0</v>
      </c>
      <c r="D5">
        <f>IF(AND(ISNUMBER('Total GW EIA'!D15),ISNUMBER('Total GW EIA'!D14),'Total GW EIA'!D14&gt;0),('Total GW EIA'!D15 - 'Total GW EIA'!D14)/'Total GW EIA'!$P15,0)</f>
        <v>0</v>
      </c>
      <c r="E5">
        <f>IF(AND(ISNUMBER('Total GW EIA'!E15),ISNUMBER('Total GW EIA'!E14),'Total GW EIA'!E14&gt;0),('Total GW EIA'!E15 - 'Total GW EIA'!E14)/'Total GW EIA'!$P15,0)</f>
        <v>0</v>
      </c>
      <c r="F5">
        <f>IF(AND(ISNUMBER('Total GW EIA'!F15),ISNUMBER('Total GW EIA'!F14),'Total GW EIA'!F14&gt;0),('Total GW EIA'!F15 - 'Total GW EIA'!F14)/'Total GW EIA'!$P15,0)</f>
        <v>0</v>
      </c>
      <c r="G5">
        <f>IF(AND(ISNUMBER('Total GW EIA'!G15),ISNUMBER('Total GW EIA'!G14),'Total GW EIA'!G14&gt;0),('Total GW EIA'!G15 - 'Total GW EIA'!G14)/'Total GW EIA'!$P15,0)</f>
        <v>0</v>
      </c>
      <c r="H5">
        <f>IF(AND(ISNUMBER('Total GW EIA'!H15),ISNUMBER('Total GW EIA'!H14),'Total GW EIA'!H14&gt;0),('Total GW EIA'!H15 - 'Total GW EIA'!H14)/'Total GW EIA'!$P15,0)</f>
        <v>0</v>
      </c>
      <c r="I5">
        <f>IF(AND(ISNUMBER('Total GW EIA'!I15),ISNUMBER('Total GW EIA'!I14),'Total GW EIA'!I14&gt;0),('Total GW EIA'!I15 - 'Total GW EIA'!I14)/'Total GW EIA'!$P15,0)</f>
        <v>0</v>
      </c>
      <c r="J5">
        <f>IF(AND(ISNUMBER('Total GW EIA'!J15),ISNUMBER('Total GW EIA'!J14),'Total GW EIA'!J14&gt;0),('Total GW EIA'!J15 - 'Total GW EIA'!J14)/'Total GW EIA'!$P15,0)</f>
        <v>0</v>
      </c>
      <c r="K5">
        <f>IF(AND(ISNUMBER('Total GW EIA'!K15),ISNUMBER('Total GW EIA'!K14),'Total GW EIA'!K14&gt;0),('Total GW EIA'!K15 - 'Total GW EIA'!K14)/'Total GW EIA'!$P15,0)</f>
        <v>0</v>
      </c>
      <c r="L5">
        <f>IF(AND(ISNUMBER('Total GW EIA'!L15),ISNUMBER('Total GW EIA'!L14),'Total GW EIA'!L14&gt;0),('Total GW EIA'!L15 - 'Total GW EIA'!L14)/'Total GW EIA'!$P15,0)</f>
        <v>0</v>
      </c>
      <c r="M5">
        <f>IF(AND(ISNUMBER('Total GW EIA'!M15),ISNUMBER('Total GW EIA'!M14),'Total GW EIA'!M14&gt;0),('Total GW EIA'!M15 - 'Total GW EIA'!M14)/'Total GW EIA'!$P15,0)</f>
        <v>0</v>
      </c>
      <c r="N5">
        <f>IF(AND(ISNUMBER('Total GW EIA'!N15),ISNUMBER('Total GW EIA'!N14),'Total GW EIA'!N14&gt;0),('Total GW EIA'!N15 - 'Total GW EIA'!N14)/'Total GW EIA'!$P15,0)</f>
        <v>0</v>
      </c>
      <c r="O5">
        <f>IF(AND(ISNUMBER('Total GW EIA'!O15),ISNUMBER('Total GW EIA'!O14),'Total GW EIA'!O14&gt;0),('Total GW EIA'!O15 - 'Total GW EIA'!O14)/'Total GW EIA'!$P15,0)</f>
        <v>0</v>
      </c>
      <c r="P5">
        <f>IF(AND(ISNUMBER('Total GW EIA'!P15),ISNUMBER('Total GW EIA'!P14),'Total GW EIA'!P14&gt;0),('Total GW EIA'!P15 - 'Total GW EIA'!P14)/'Total GW EIA'!$P15,0)</f>
        <v>0</v>
      </c>
    </row>
    <row r="6" spans="1:17" ht="14.65" x14ac:dyDescent="0.85">
      <c r="A6" s="271">
        <v>1950</v>
      </c>
      <c r="B6">
        <f>IF(AND(ISNUMBER('Total GW EIA'!B16),ISNUMBER('Total GW EIA'!B15),'Total GW EIA'!B15&gt;0),('Total GW EIA'!B16 - 'Total GW EIA'!B15)/'Total GW EIA'!$P16,0)</f>
        <v>0</v>
      </c>
      <c r="C6">
        <f>IF(AND(ISNUMBER('Total GW EIA'!C16),ISNUMBER('Total GW EIA'!C15),'Total GW EIA'!C15&gt;0),('Total GW EIA'!C16 - 'Total GW EIA'!C15)/'Total GW EIA'!$P16,0)</f>
        <v>0</v>
      </c>
      <c r="D6">
        <f>IF(AND(ISNUMBER('Total GW EIA'!D16),ISNUMBER('Total GW EIA'!D15),'Total GW EIA'!D15&gt;0),('Total GW EIA'!D16 - 'Total GW EIA'!D15)/'Total GW EIA'!$P16,0)</f>
        <v>0</v>
      </c>
      <c r="E6">
        <f>IF(AND(ISNUMBER('Total GW EIA'!E16),ISNUMBER('Total GW EIA'!E15),'Total GW EIA'!E15&gt;0),('Total GW EIA'!E16 - 'Total GW EIA'!E15)/'Total GW EIA'!$P16,0)</f>
        <v>7.3699421965317938E-2</v>
      </c>
      <c r="F6">
        <f>IF(AND(ISNUMBER('Total GW EIA'!F16),ISNUMBER('Total GW EIA'!F15),'Total GW EIA'!F15&gt;0),('Total GW EIA'!F16 - 'Total GW EIA'!F15)/'Total GW EIA'!$P16,0)</f>
        <v>0</v>
      </c>
      <c r="G6">
        <f>IF(AND(ISNUMBER('Total GW EIA'!G16),ISNUMBER('Total GW EIA'!G15),'Total GW EIA'!G15&gt;0),('Total GW EIA'!G16 - 'Total GW EIA'!G15)/'Total GW EIA'!$P16,0)</f>
        <v>0</v>
      </c>
      <c r="H6">
        <f>IF(AND(ISNUMBER('Total GW EIA'!H16),ISNUMBER('Total GW EIA'!H15),'Total GW EIA'!H15&gt;0),('Total GW EIA'!H16 - 'Total GW EIA'!H15)/'Total GW EIA'!$P16,0)</f>
        <v>1.0115606936416175E-2</v>
      </c>
      <c r="I6">
        <f>IF(AND(ISNUMBER('Total GW EIA'!I16),ISNUMBER('Total GW EIA'!I15),'Total GW EIA'!I15&gt;0),('Total GW EIA'!I16 - 'Total GW EIA'!I15)/'Total GW EIA'!$P16,0)</f>
        <v>0</v>
      </c>
      <c r="J6">
        <f>IF(AND(ISNUMBER('Total GW EIA'!J16),ISNUMBER('Total GW EIA'!J15),'Total GW EIA'!J15&gt;0),('Total GW EIA'!J16 - 'Total GW EIA'!J15)/'Total GW EIA'!$P16,0)</f>
        <v>0</v>
      </c>
      <c r="K6">
        <f>IF(AND(ISNUMBER('Total GW EIA'!K16),ISNUMBER('Total GW EIA'!K15),'Total GW EIA'!K15&gt;0),('Total GW EIA'!K16 - 'Total GW EIA'!K15)/'Total GW EIA'!$P16,0)</f>
        <v>0</v>
      </c>
      <c r="L6">
        <f>IF(AND(ISNUMBER('Total GW EIA'!L16),ISNUMBER('Total GW EIA'!L15),'Total GW EIA'!L15&gt;0),('Total GW EIA'!L16 - 'Total GW EIA'!L15)/'Total GW EIA'!$P16,0)</f>
        <v>0</v>
      </c>
      <c r="M6">
        <f>IF(AND(ISNUMBER('Total GW EIA'!M16),ISNUMBER('Total GW EIA'!M15),'Total GW EIA'!M15&gt;0),('Total GW EIA'!M16 - 'Total GW EIA'!M15)/'Total GW EIA'!$P16,0)</f>
        <v>0</v>
      </c>
      <c r="N6">
        <f>IF(AND(ISNUMBER('Total GW EIA'!N16),ISNUMBER('Total GW EIA'!N15),'Total GW EIA'!N15&gt;0),('Total GW EIA'!N16 - 'Total GW EIA'!N15)/'Total GW EIA'!$P16,0)</f>
        <v>1.0115606936416175E-2</v>
      </c>
      <c r="O6">
        <f>IF(AND(ISNUMBER('Total GW EIA'!O16),ISNUMBER('Total GW EIA'!O15),'Total GW EIA'!O15&gt;0),('Total GW EIA'!O16 - 'Total GW EIA'!O15)/'Total GW EIA'!$P16,0)</f>
        <v>0</v>
      </c>
      <c r="P6">
        <f>IF(AND(ISNUMBER('Total GW EIA'!P16),ISNUMBER('Total GW EIA'!P15),'Total GW EIA'!P15&gt;0),('Total GW EIA'!P16 - 'Total GW EIA'!P15)/'Total GW EIA'!$P16,0)</f>
        <v>8.3815028901734159E-2</v>
      </c>
    </row>
    <row r="7" spans="1:17" ht="14.65" x14ac:dyDescent="0.85">
      <c r="A7" s="271">
        <v>1951</v>
      </c>
      <c r="B7">
        <f>IF(AND(ISNUMBER('Total GW EIA'!B17),ISNUMBER('Total GW EIA'!B16),'Total GW EIA'!B16&gt;0),('Total GW EIA'!B17 - 'Total GW EIA'!B16)/'Total GW EIA'!$P17,0)</f>
        <v>0</v>
      </c>
      <c r="C7">
        <f>IF(AND(ISNUMBER('Total GW EIA'!C17),ISNUMBER('Total GW EIA'!C16),'Total GW EIA'!C16&gt;0),('Total GW EIA'!C17 - 'Total GW EIA'!C16)/'Total GW EIA'!$P17,0)</f>
        <v>0</v>
      </c>
      <c r="D7">
        <f>IF(AND(ISNUMBER('Total GW EIA'!D17),ISNUMBER('Total GW EIA'!D16),'Total GW EIA'!D16&gt;0),('Total GW EIA'!D17 - 'Total GW EIA'!D16)/'Total GW EIA'!$P17,0)</f>
        <v>0</v>
      </c>
      <c r="E7">
        <f>IF(AND(ISNUMBER('Total GW EIA'!E17),ISNUMBER('Total GW EIA'!E16),'Total GW EIA'!E16&gt;0),('Total GW EIA'!E17 - 'Total GW EIA'!E16)/'Total GW EIA'!$P17,0)</f>
        <v>6.6225165562913912E-2</v>
      </c>
      <c r="F7">
        <f>IF(AND(ISNUMBER('Total GW EIA'!F17),ISNUMBER('Total GW EIA'!F16),'Total GW EIA'!F16&gt;0),('Total GW EIA'!F17 - 'Total GW EIA'!F16)/'Total GW EIA'!$P17,0)</f>
        <v>0</v>
      </c>
      <c r="G7">
        <f>IF(AND(ISNUMBER('Total GW EIA'!G17),ISNUMBER('Total GW EIA'!G16),'Total GW EIA'!G16&gt;0),('Total GW EIA'!G17 - 'Total GW EIA'!G16)/'Total GW EIA'!$P17,0)</f>
        <v>0</v>
      </c>
      <c r="H7">
        <f>IF(AND(ISNUMBER('Total GW EIA'!H17),ISNUMBER('Total GW EIA'!H16),'Total GW EIA'!H16&gt;0),('Total GW EIA'!H17 - 'Total GW EIA'!H16)/'Total GW EIA'!$P17,0)</f>
        <v>1.7218543046357625E-2</v>
      </c>
      <c r="I7">
        <f>IF(AND(ISNUMBER('Total GW EIA'!I17),ISNUMBER('Total GW EIA'!I16),'Total GW EIA'!I16&gt;0),('Total GW EIA'!I17 - 'Total GW EIA'!I16)/'Total GW EIA'!$P17,0)</f>
        <v>0</v>
      </c>
      <c r="J7">
        <f>IF(AND(ISNUMBER('Total GW EIA'!J17),ISNUMBER('Total GW EIA'!J16),'Total GW EIA'!J16&gt;0),('Total GW EIA'!J17 - 'Total GW EIA'!J16)/'Total GW EIA'!$P17,0)</f>
        <v>0</v>
      </c>
      <c r="K7">
        <f>IF(AND(ISNUMBER('Total GW EIA'!K17),ISNUMBER('Total GW EIA'!K16),'Total GW EIA'!K16&gt;0),('Total GW EIA'!K17 - 'Total GW EIA'!K16)/'Total GW EIA'!$P17,0)</f>
        <v>0</v>
      </c>
      <c r="L7">
        <f>IF(AND(ISNUMBER('Total GW EIA'!L17),ISNUMBER('Total GW EIA'!L16),'Total GW EIA'!L16&gt;0),('Total GW EIA'!L17 - 'Total GW EIA'!L16)/'Total GW EIA'!$P17,0)</f>
        <v>0</v>
      </c>
      <c r="M7">
        <f>IF(AND(ISNUMBER('Total GW EIA'!M17),ISNUMBER('Total GW EIA'!M16),'Total GW EIA'!M16&gt;0),('Total GW EIA'!M17 - 'Total GW EIA'!M16)/'Total GW EIA'!$P17,0)</f>
        <v>0</v>
      </c>
      <c r="N7">
        <f>IF(AND(ISNUMBER('Total GW EIA'!N17),ISNUMBER('Total GW EIA'!N16),'Total GW EIA'!N16&gt;0),('Total GW EIA'!N17 - 'Total GW EIA'!N16)/'Total GW EIA'!$P17,0)</f>
        <v>1.7218543046357625E-2</v>
      </c>
      <c r="O7">
        <f>IF(AND(ISNUMBER('Total GW EIA'!O17),ISNUMBER('Total GW EIA'!O16),'Total GW EIA'!O16&gt;0),('Total GW EIA'!O17 - 'Total GW EIA'!O16)/'Total GW EIA'!$P17,0)</f>
        <v>0</v>
      </c>
      <c r="P7">
        <f>IF(AND(ISNUMBER('Total GW EIA'!P17),ISNUMBER('Total GW EIA'!P16),'Total GW EIA'!P16&gt;0),('Total GW EIA'!P17 - 'Total GW EIA'!P16)/'Total GW EIA'!$P17,0)</f>
        <v>8.3443708609271486E-2</v>
      </c>
    </row>
    <row r="8" spans="1:17" ht="14.65" x14ac:dyDescent="0.85">
      <c r="A8" s="271">
        <v>1952</v>
      </c>
      <c r="B8">
        <f>IF(AND(ISNUMBER('Total GW EIA'!B18),ISNUMBER('Total GW EIA'!B17),'Total GW EIA'!B17&gt;0),('Total GW EIA'!B18 - 'Total GW EIA'!B17)/'Total GW EIA'!$P18,0)</f>
        <v>0</v>
      </c>
      <c r="C8">
        <f>IF(AND(ISNUMBER('Total GW EIA'!C18),ISNUMBER('Total GW EIA'!C17),'Total GW EIA'!C17&gt;0),('Total GW EIA'!C18 - 'Total GW EIA'!C17)/'Total GW EIA'!$P18,0)</f>
        <v>0</v>
      </c>
      <c r="D8">
        <f>IF(AND(ISNUMBER('Total GW EIA'!D18),ISNUMBER('Total GW EIA'!D17),'Total GW EIA'!D17&gt;0),('Total GW EIA'!D18 - 'Total GW EIA'!D17)/'Total GW EIA'!$P18,0)</f>
        <v>0</v>
      </c>
      <c r="E8">
        <f>IF(AND(ISNUMBER('Total GW EIA'!E18),ISNUMBER('Total GW EIA'!E17),'Total GW EIA'!E17&gt;0),('Total GW EIA'!E18 - 'Total GW EIA'!E17)/'Total GW EIA'!$P18,0)</f>
        <v>6.9423076923076879E-2</v>
      </c>
      <c r="F8">
        <f>IF(AND(ISNUMBER('Total GW EIA'!F18),ISNUMBER('Total GW EIA'!F17),'Total GW EIA'!F17&gt;0),('Total GW EIA'!F18 - 'Total GW EIA'!F17)/'Total GW EIA'!$P18,0)</f>
        <v>0</v>
      </c>
      <c r="G8">
        <f>IF(AND(ISNUMBER('Total GW EIA'!G18),ISNUMBER('Total GW EIA'!G17),'Total GW EIA'!G17&gt;0),('Total GW EIA'!G18 - 'Total GW EIA'!G17)/'Total GW EIA'!$P18,0)</f>
        <v>0</v>
      </c>
      <c r="H8">
        <f>IF(AND(ISNUMBER('Total GW EIA'!H18),ISNUMBER('Total GW EIA'!H17),'Total GW EIA'!H17&gt;0),('Total GW EIA'!H18 - 'Total GW EIA'!H17)/'Total GW EIA'!$P18,0)</f>
        <v>2.2836538461538443E-2</v>
      </c>
      <c r="I8">
        <f>IF(AND(ISNUMBER('Total GW EIA'!I18),ISNUMBER('Total GW EIA'!I17),'Total GW EIA'!I17&gt;0),('Total GW EIA'!I18 - 'Total GW EIA'!I17)/'Total GW EIA'!$P18,0)</f>
        <v>2.8846153846153843E-4</v>
      </c>
      <c r="J8">
        <f>IF(AND(ISNUMBER('Total GW EIA'!J18),ISNUMBER('Total GW EIA'!J17),'Total GW EIA'!J17&gt;0),('Total GW EIA'!J18 - 'Total GW EIA'!J17)/'Total GW EIA'!$P18,0)</f>
        <v>0</v>
      </c>
      <c r="K8">
        <f>IF(AND(ISNUMBER('Total GW EIA'!K18),ISNUMBER('Total GW EIA'!K17),'Total GW EIA'!K17&gt;0),('Total GW EIA'!K18 - 'Total GW EIA'!K17)/'Total GW EIA'!$P18,0)</f>
        <v>0</v>
      </c>
      <c r="L8">
        <f>IF(AND(ISNUMBER('Total GW EIA'!L18),ISNUMBER('Total GW EIA'!L17),'Total GW EIA'!L17&gt;0),('Total GW EIA'!L18 - 'Total GW EIA'!L17)/'Total GW EIA'!$P18,0)</f>
        <v>0</v>
      </c>
      <c r="M8">
        <f>IF(AND(ISNUMBER('Total GW EIA'!M18),ISNUMBER('Total GW EIA'!M17),'Total GW EIA'!M17&gt;0),('Total GW EIA'!M18 - 'Total GW EIA'!M17)/'Total GW EIA'!$P18,0)</f>
        <v>0</v>
      </c>
      <c r="N8">
        <f>IF(AND(ISNUMBER('Total GW EIA'!N18),ISNUMBER('Total GW EIA'!N17),'Total GW EIA'!N17&gt;0),('Total GW EIA'!N18 - 'Total GW EIA'!N17)/'Total GW EIA'!$P18,0)</f>
        <v>2.3124999999999993E-2</v>
      </c>
      <c r="O8">
        <f>IF(AND(ISNUMBER('Total GW EIA'!O18),ISNUMBER('Total GW EIA'!O17),'Total GW EIA'!O17&gt;0),('Total GW EIA'!O18 - 'Total GW EIA'!O17)/'Total GW EIA'!$P18,0)</f>
        <v>0</v>
      </c>
      <c r="P8">
        <f>IF(AND(ISNUMBER('Total GW EIA'!P18),ISNUMBER('Total GW EIA'!P17),'Total GW EIA'!P17&gt;0),('Total GW EIA'!P18 - 'Total GW EIA'!P17)/'Total GW EIA'!$P18,0)</f>
        <v>9.2548076923076955E-2</v>
      </c>
    </row>
    <row r="9" spans="1:17" ht="14.65" x14ac:dyDescent="0.85">
      <c r="A9" s="271">
        <v>1953</v>
      </c>
      <c r="B9">
        <f>IF(AND(ISNUMBER('Total GW EIA'!B19),ISNUMBER('Total GW EIA'!B18),'Total GW EIA'!B18&gt;0),('Total GW EIA'!B19 - 'Total GW EIA'!B18)/'Total GW EIA'!$P19,0)</f>
        <v>0</v>
      </c>
      <c r="C9">
        <f>IF(AND(ISNUMBER('Total GW EIA'!C19),ISNUMBER('Total GW EIA'!C18),'Total GW EIA'!C18&gt;0),('Total GW EIA'!C19 - 'Total GW EIA'!C18)/'Total GW EIA'!$P19,0)</f>
        <v>0</v>
      </c>
      <c r="D9">
        <f>IF(AND(ISNUMBER('Total GW EIA'!D19),ISNUMBER('Total GW EIA'!D18),'Total GW EIA'!D18&gt;0),('Total GW EIA'!D19 - 'Total GW EIA'!D18)/'Total GW EIA'!$P19,0)</f>
        <v>0</v>
      </c>
      <c r="E9">
        <f>IF(AND(ISNUMBER('Total GW EIA'!E19),ISNUMBER('Total GW EIA'!E18),'Total GW EIA'!E18&gt;0),('Total GW EIA'!E19 - 'Total GW EIA'!E18)/'Total GW EIA'!$P19,0)</f>
        <v>9.3247588424437255E-2</v>
      </c>
      <c r="F9">
        <f>IF(AND(ISNUMBER('Total GW EIA'!F19),ISNUMBER('Total GW EIA'!F18),'Total GW EIA'!F18&gt;0),('Total GW EIA'!F19 - 'Total GW EIA'!F18)/'Total GW EIA'!$P19,0)</f>
        <v>0</v>
      </c>
      <c r="G9">
        <f>IF(AND(ISNUMBER('Total GW EIA'!G19),ISNUMBER('Total GW EIA'!G18),'Total GW EIA'!G18&gt;0),('Total GW EIA'!G19 - 'Total GW EIA'!G18)/'Total GW EIA'!$P19,0)</f>
        <v>0</v>
      </c>
      <c r="H9">
        <f>IF(AND(ISNUMBER('Total GW EIA'!H19),ISNUMBER('Total GW EIA'!H18),'Total GW EIA'!H18&gt;0),('Total GW EIA'!H19 - 'Total GW EIA'!H18)/'Total GW EIA'!$P19,0)</f>
        <v>1.5005359056806026E-2</v>
      </c>
      <c r="I9">
        <f>IF(AND(ISNUMBER('Total GW EIA'!I19),ISNUMBER('Total GW EIA'!I18),'Total GW EIA'!I18&gt;0),('Total GW EIA'!I19 - 'Total GW EIA'!I18)/'Total GW EIA'!$P19,0)</f>
        <v>0</v>
      </c>
      <c r="J9">
        <f>IF(AND(ISNUMBER('Total GW EIA'!J19),ISNUMBER('Total GW EIA'!J18),'Total GW EIA'!J18&gt;0),('Total GW EIA'!J19 - 'Total GW EIA'!J18)/'Total GW EIA'!$P19,0)</f>
        <v>0</v>
      </c>
      <c r="K9">
        <f>IF(AND(ISNUMBER('Total GW EIA'!K19),ISNUMBER('Total GW EIA'!K18),'Total GW EIA'!K18&gt;0),('Total GW EIA'!K19 - 'Total GW EIA'!K18)/'Total GW EIA'!$P19,0)</f>
        <v>0</v>
      </c>
      <c r="L9">
        <f>IF(AND(ISNUMBER('Total GW EIA'!L19),ISNUMBER('Total GW EIA'!L18),'Total GW EIA'!L18&gt;0),('Total GW EIA'!L19 - 'Total GW EIA'!L18)/'Total GW EIA'!$P19,0)</f>
        <v>0</v>
      </c>
      <c r="M9">
        <f>IF(AND(ISNUMBER('Total GW EIA'!M19),ISNUMBER('Total GW EIA'!M18),'Total GW EIA'!M18&gt;0),('Total GW EIA'!M19 - 'Total GW EIA'!M18)/'Total GW EIA'!$P19,0)</f>
        <v>0</v>
      </c>
      <c r="N9">
        <f>IF(AND(ISNUMBER('Total GW EIA'!N19),ISNUMBER('Total GW EIA'!N18),'Total GW EIA'!N18&gt;0),('Total GW EIA'!N19 - 'Total GW EIA'!N18)/'Total GW EIA'!$P19,0)</f>
        <v>1.5005359056805988E-2</v>
      </c>
      <c r="O9">
        <f>IF(AND(ISNUMBER('Total GW EIA'!O19),ISNUMBER('Total GW EIA'!O18),'Total GW EIA'!O18&gt;0),('Total GW EIA'!O19 - 'Total GW EIA'!O18)/'Total GW EIA'!$P19,0)</f>
        <v>0</v>
      </c>
      <c r="P9">
        <f>IF(AND(ISNUMBER('Total GW EIA'!P19),ISNUMBER('Total GW EIA'!P18),'Total GW EIA'!P18&gt;0),('Total GW EIA'!P19 - 'Total GW EIA'!P18)/'Total GW EIA'!$P19,0)</f>
        <v>0.10825294748124324</v>
      </c>
    </row>
    <row r="10" spans="1:17" ht="14.65" x14ac:dyDescent="0.85">
      <c r="A10" s="271">
        <v>1954</v>
      </c>
      <c r="B10">
        <f>IF(AND(ISNUMBER('Total GW EIA'!B20),ISNUMBER('Total GW EIA'!B19),'Total GW EIA'!B19&gt;0),('Total GW EIA'!B20 - 'Total GW EIA'!B19)/'Total GW EIA'!$P20,0)</f>
        <v>0</v>
      </c>
      <c r="C10">
        <f>IF(AND(ISNUMBER('Total GW EIA'!C20),ISNUMBER('Total GW EIA'!C19),'Total GW EIA'!C19&gt;0),('Total GW EIA'!C20 - 'Total GW EIA'!C19)/'Total GW EIA'!$P20,0)</f>
        <v>0</v>
      </c>
      <c r="D10">
        <f>IF(AND(ISNUMBER('Total GW EIA'!D20),ISNUMBER('Total GW EIA'!D19),'Total GW EIA'!D19&gt;0),('Total GW EIA'!D20 - 'Total GW EIA'!D19)/'Total GW EIA'!$P20,0)</f>
        <v>0</v>
      </c>
      <c r="E10">
        <f>IF(AND(ISNUMBER('Total GW EIA'!E20),ISNUMBER('Total GW EIA'!E19),'Total GW EIA'!E19&gt;0),('Total GW EIA'!E20 - 'Total GW EIA'!E19)/'Total GW EIA'!$P20,0)</f>
        <v>0.08</v>
      </c>
      <c r="F10">
        <f>IF(AND(ISNUMBER('Total GW EIA'!F20),ISNUMBER('Total GW EIA'!F19),'Total GW EIA'!F19&gt;0),('Total GW EIA'!F20 - 'Total GW EIA'!F19)/'Total GW EIA'!$P20,0)</f>
        <v>0</v>
      </c>
      <c r="G10">
        <f>IF(AND(ISNUMBER('Total GW EIA'!G20),ISNUMBER('Total GW EIA'!G19),'Total GW EIA'!G19&gt;0),('Total GW EIA'!G20 - 'Total GW EIA'!G19)/'Total GW EIA'!$P20,0)</f>
        <v>0</v>
      </c>
      <c r="H10">
        <f>IF(AND(ISNUMBER('Total GW EIA'!H20),ISNUMBER('Total GW EIA'!H19),'Total GW EIA'!H19&gt;0),('Total GW EIA'!H20 - 'Total GW EIA'!H19)/'Total GW EIA'!$P20,0)</f>
        <v>-1.3000000000000006E-2</v>
      </c>
      <c r="I10">
        <f>IF(AND(ISNUMBER('Total GW EIA'!I20),ISNUMBER('Total GW EIA'!I19),'Total GW EIA'!I19&gt;0),('Total GW EIA'!I20 - 'Total GW EIA'!I19)/'Total GW EIA'!$P20,0)</f>
        <v>0</v>
      </c>
      <c r="J10">
        <f>IF(AND(ISNUMBER('Total GW EIA'!J20),ISNUMBER('Total GW EIA'!J19),'Total GW EIA'!J19&gt;0),('Total GW EIA'!J20 - 'Total GW EIA'!J19)/'Total GW EIA'!$P20,0)</f>
        <v>0</v>
      </c>
      <c r="K10">
        <f>IF(AND(ISNUMBER('Total GW EIA'!K20),ISNUMBER('Total GW EIA'!K19),'Total GW EIA'!K19&gt;0),('Total GW EIA'!K20 - 'Total GW EIA'!K19)/'Total GW EIA'!$P20,0)</f>
        <v>0</v>
      </c>
      <c r="L10">
        <f>IF(AND(ISNUMBER('Total GW EIA'!L20),ISNUMBER('Total GW EIA'!L19),'Total GW EIA'!L19&gt;0),('Total GW EIA'!L20 - 'Total GW EIA'!L19)/'Total GW EIA'!$P20,0)</f>
        <v>0</v>
      </c>
      <c r="M10">
        <f>IF(AND(ISNUMBER('Total GW EIA'!M20),ISNUMBER('Total GW EIA'!M19),'Total GW EIA'!M19&gt;0),('Total GW EIA'!M20 - 'Total GW EIA'!M19)/'Total GW EIA'!$P20,0)</f>
        <v>0</v>
      </c>
      <c r="N10">
        <f>IF(AND(ISNUMBER('Total GW EIA'!N20),ISNUMBER('Total GW EIA'!N19),'Total GW EIA'!N19&gt;0),('Total GW EIA'!N20 - 'Total GW EIA'!N19)/'Total GW EIA'!$P20,0)</f>
        <v>-1.3000000000000006E-2</v>
      </c>
      <c r="O10">
        <f>IF(AND(ISNUMBER('Total GW EIA'!O20),ISNUMBER('Total GW EIA'!O19),'Total GW EIA'!O19&gt;0),('Total GW EIA'!O20 - 'Total GW EIA'!O19)/'Total GW EIA'!$P20,0)</f>
        <v>0</v>
      </c>
      <c r="P10">
        <f>IF(AND(ISNUMBER('Total GW EIA'!P20),ISNUMBER('Total GW EIA'!P19),'Total GW EIA'!P19&gt;0),('Total GW EIA'!P20 - 'Total GW EIA'!P19)/'Total GW EIA'!$P20,0)</f>
        <v>6.7000000000000032E-2</v>
      </c>
    </row>
    <row r="11" spans="1:17" ht="14.65" x14ac:dyDescent="0.85">
      <c r="A11" s="271">
        <v>1955</v>
      </c>
      <c r="B11">
        <f>IF(AND(ISNUMBER('Total GW EIA'!B21),ISNUMBER('Total GW EIA'!B20),'Total GW EIA'!B20&gt;0),('Total GW EIA'!B21 - 'Total GW EIA'!B20)/'Total GW EIA'!$P21,0)</f>
        <v>0</v>
      </c>
      <c r="C11">
        <f>IF(AND(ISNUMBER('Total GW EIA'!C21),ISNUMBER('Total GW EIA'!C20),'Total GW EIA'!C20&gt;0),('Total GW EIA'!C21 - 'Total GW EIA'!C20)/'Total GW EIA'!$P21,0)</f>
        <v>0</v>
      </c>
      <c r="D11">
        <f>IF(AND(ISNUMBER('Total GW EIA'!D21),ISNUMBER('Total GW EIA'!D20),'Total GW EIA'!D20&gt;0),('Total GW EIA'!D21 - 'Total GW EIA'!D20)/'Total GW EIA'!$P21,0)</f>
        <v>0</v>
      </c>
      <c r="E11">
        <f>IF(AND(ISNUMBER('Total GW EIA'!E21),ISNUMBER('Total GW EIA'!E20),'Total GW EIA'!E20&gt;0),('Total GW EIA'!E21 - 'Total GW EIA'!E20)/'Total GW EIA'!$P21,0)</f>
        <v>8.1436077057793446E-2</v>
      </c>
      <c r="F11">
        <f>IF(AND(ISNUMBER('Total GW EIA'!F21),ISNUMBER('Total GW EIA'!F20),'Total GW EIA'!F20&gt;0),('Total GW EIA'!F21 - 'Total GW EIA'!F20)/'Total GW EIA'!$P21,0)</f>
        <v>0</v>
      </c>
      <c r="G11">
        <f>IF(AND(ISNUMBER('Total GW EIA'!G21),ISNUMBER('Total GW EIA'!G20),'Total GW EIA'!G20&gt;0),('Total GW EIA'!G21 - 'Total GW EIA'!G20)/'Total GW EIA'!$P21,0)</f>
        <v>0</v>
      </c>
      <c r="H11">
        <f>IF(AND(ISNUMBER('Total GW EIA'!H21),ISNUMBER('Total GW EIA'!H20),'Total GW EIA'!H20&gt;0),('Total GW EIA'!H21 - 'Total GW EIA'!H20)/'Total GW EIA'!$P21,0)</f>
        <v>4.2907180385288957E-2</v>
      </c>
      <c r="I11">
        <f>IF(AND(ISNUMBER('Total GW EIA'!I21),ISNUMBER('Total GW EIA'!I20),'Total GW EIA'!I20&gt;0),('Total GW EIA'!I21 - 'Total GW EIA'!I20)/'Total GW EIA'!$P21,0)</f>
        <v>0</v>
      </c>
      <c r="J11">
        <f>IF(AND(ISNUMBER('Total GW EIA'!J21),ISNUMBER('Total GW EIA'!J20),'Total GW EIA'!J20&gt;0),('Total GW EIA'!J21 - 'Total GW EIA'!J20)/'Total GW EIA'!$P21,0)</f>
        <v>0</v>
      </c>
      <c r="K11">
        <f>IF(AND(ISNUMBER('Total GW EIA'!K21),ISNUMBER('Total GW EIA'!K20),'Total GW EIA'!K20&gt;0),('Total GW EIA'!K21 - 'Total GW EIA'!K20)/'Total GW EIA'!$P21,0)</f>
        <v>0</v>
      </c>
      <c r="L11">
        <f>IF(AND(ISNUMBER('Total GW EIA'!L21),ISNUMBER('Total GW EIA'!L20),'Total GW EIA'!L20&gt;0),('Total GW EIA'!L21 - 'Total GW EIA'!L20)/'Total GW EIA'!$P21,0)</f>
        <v>0</v>
      </c>
      <c r="M11">
        <f>IF(AND(ISNUMBER('Total GW EIA'!M21),ISNUMBER('Total GW EIA'!M20),'Total GW EIA'!M20&gt;0),('Total GW EIA'!M21 - 'Total GW EIA'!M20)/'Total GW EIA'!$P21,0)</f>
        <v>0</v>
      </c>
      <c r="N11">
        <f>IF(AND(ISNUMBER('Total GW EIA'!N21),ISNUMBER('Total GW EIA'!N20),'Total GW EIA'!N20&gt;0),('Total GW EIA'!N21 - 'Total GW EIA'!N20)/'Total GW EIA'!$P21,0)</f>
        <v>4.2907180385288984E-2</v>
      </c>
      <c r="O11">
        <f>IF(AND(ISNUMBER('Total GW EIA'!O21),ISNUMBER('Total GW EIA'!O20),'Total GW EIA'!O20&gt;0),('Total GW EIA'!O21 - 'Total GW EIA'!O20)/'Total GW EIA'!$P21,0)</f>
        <v>0</v>
      </c>
      <c r="P11">
        <f>IF(AND(ISNUMBER('Total GW EIA'!P21),ISNUMBER('Total GW EIA'!P20),'Total GW EIA'!P20&gt;0),('Total GW EIA'!P21 - 'Total GW EIA'!P20)/'Total GW EIA'!$P21,0)</f>
        <v>0.12434325744308233</v>
      </c>
    </row>
    <row r="12" spans="1:17" ht="14.65" x14ac:dyDescent="0.85">
      <c r="A12" s="271">
        <v>1956</v>
      </c>
      <c r="B12">
        <f>IF(AND(ISNUMBER('Total GW EIA'!B22),ISNUMBER('Total GW EIA'!B21),'Total GW EIA'!B21&gt;0),('Total GW EIA'!B22 - 'Total GW EIA'!B21)/'Total GW EIA'!$P22,0)</f>
        <v>0</v>
      </c>
      <c r="C12">
        <f>IF(AND(ISNUMBER('Total GW EIA'!C22),ISNUMBER('Total GW EIA'!C21),'Total GW EIA'!C21&gt;0),('Total GW EIA'!C22 - 'Total GW EIA'!C21)/'Total GW EIA'!$P22,0)</f>
        <v>0</v>
      </c>
      <c r="D12">
        <f>IF(AND(ISNUMBER('Total GW EIA'!D22),ISNUMBER('Total GW EIA'!D21),'Total GW EIA'!D21&gt;0),('Total GW EIA'!D22 - 'Total GW EIA'!D21)/'Total GW EIA'!$P22,0)</f>
        <v>0</v>
      </c>
      <c r="E12">
        <f>IF(AND(ISNUMBER('Total GW EIA'!E22),ISNUMBER('Total GW EIA'!E21),'Total GW EIA'!E21&gt;0),('Total GW EIA'!E22 - 'Total GW EIA'!E21)/'Total GW EIA'!$P22,0)</f>
        <v>3.6758563074352477E-2</v>
      </c>
      <c r="F12">
        <f>IF(AND(ISNUMBER('Total GW EIA'!F22),ISNUMBER('Total GW EIA'!F21),'Total GW EIA'!F21&gt;0),('Total GW EIA'!F22 - 'Total GW EIA'!F21)/'Total GW EIA'!$P22,0)</f>
        <v>0</v>
      </c>
      <c r="G12">
        <f>IF(AND(ISNUMBER('Total GW EIA'!G22),ISNUMBER('Total GW EIA'!G21),'Total GW EIA'!G21&gt;0),('Total GW EIA'!G22 - 'Total GW EIA'!G21)/'Total GW EIA'!$P22,0)</f>
        <v>0</v>
      </c>
      <c r="H12">
        <f>IF(AND(ISNUMBER('Total GW EIA'!H22),ISNUMBER('Total GW EIA'!H21),'Total GW EIA'!H21&gt;0),('Total GW EIA'!H22 - 'Total GW EIA'!H21)/'Total GW EIA'!$P22,0)</f>
        <v>9.1896407685881486E-3</v>
      </c>
      <c r="I12">
        <f>IF(AND(ISNUMBER('Total GW EIA'!I22),ISNUMBER('Total GW EIA'!I21),'Total GW EIA'!I21&gt;0),('Total GW EIA'!I22 - 'Total GW EIA'!I21)/'Total GW EIA'!$P22,0)</f>
        <v>0</v>
      </c>
      <c r="J12">
        <f>IF(AND(ISNUMBER('Total GW EIA'!J22),ISNUMBER('Total GW EIA'!J21),'Total GW EIA'!J21&gt;0),('Total GW EIA'!J22 - 'Total GW EIA'!J21)/'Total GW EIA'!$P22,0)</f>
        <v>0</v>
      </c>
      <c r="K12">
        <f>IF(AND(ISNUMBER('Total GW EIA'!K22),ISNUMBER('Total GW EIA'!K21),'Total GW EIA'!K21&gt;0),('Total GW EIA'!K22 - 'Total GW EIA'!K21)/'Total GW EIA'!$P22,0)</f>
        <v>0</v>
      </c>
      <c r="L12">
        <f>IF(AND(ISNUMBER('Total GW EIA'!L22),ISNUMBER('Total GW EIA'!L21),'Total GW EIA'!L21&gt;0),('Total GW EIA'!L22 - 'Total GW EIA'!L21)/'Total GW EIA'!$P22,0)</f>
        <v>0</v>
      </c>
      <c r="M12">
        <f>IF(AND(ISNUMBER('Total GW EIA'!M22),ISNUMBER('Total GW EIA'!M21),'Total GW EIA'!M21&gt;0),('Total GW EIA'!M22 - 'Total GW EIA'!M21)/'Total GW EIA'!$P22,0)</f>
        <v>0</v>
      </c>
      <c r="N12">
        <f>IF(AND(ISNUMBER('Total GW EIA'!N22),ISNUMBER('Total GW EIA'!N21),'Total GW EIA'!N21&gt;0),('Total GW EIA'!N22 - 'Total GW EIA'!N21)/'Total GW EIA'!$P22,0)</f>
        <v>9.1896407685881192E-3</v>
      </c>
      <c r="O12">
        <f>IF(AND(ISNUMBER('Total GW EIA'!O22),ISNUMBER('Total GW EIA'!O21),'Total GW EIA'!O21&gt;0),('Total GW EIA'!O22 - 'Total GW EIA'!O21)/'Total GW EIA'!$P22,0)</f>
        <v>0</v>
      </c>
      <c r="P12">
        <f>IF(AND(ISNUMBER('Total GW EIA'!P22),ISNUMBER('Total GW EIA'!P21),'Total GW EIA'!P21&gt;0),('Total GW EIA'!P22 - 'Total GW EIA'!P21)/'Total GW EIA'!$P22,0)</f>
        <v>4.5948203842940682E-2</v>
      </c>
    </row>
    <row r="13" spans="1:17" ht="14.65" x14ac:dyDescent="0.85">
      <c r="A13" s="271">
        <v>1957</v>
      </c>
      <c r="B13">
        <f>IF(AND(ISNUMBER('Total GW EIA'!B23),ISNUMBER('Total GW EIA'!B22),'Total GW EIA'!B22&gt;0),('Total GW EIA'!B23 - 'Total GW EIA'!B22)/'Total GW EIA'!$P23,0)</f>
        <v>0</v>
      </c>
      <c r="C13">
        <f>IF(AND(ISNUMBER('Total GW EIA'!C23),ISNUMBER('Total GW EIA'!C22),'Total GW EIA'!C22&gt;0),('Total GW EIA'!C23 - 'Total GW EIA'!C22)/'Total GW EIA'!$P23,0)</f>
        <v>0</v>
      </c>
      <c r="D13">
        <f>IF(AND(ISNUMBER('Total GW EIA'!D23),ISNUMBER('Total GW EIA'!D22),'Total GW EIA'!D22&gt;0),('Total GW EIA'!D23 - 'Total GW EIA'!D22)/'Total GW EIA'!$P23,0)</f>
        <v>0</v>
      </c>
      <c r="E13">
        <f>IF(AND(ISNUMBER('Total GW EIA'!E23),ISNUMBER('Total GW EIA'!E22),'Total GW EIA'!E22&gt;0),('Total GW EIA'!E23 - 'Total GW EIA'!E22)/'Total GW EIA'!$P23,0)</f>
        <v>6.954996186117475E-2</v>
      </c>
      <c r="F13">
        <f>IF(AND(ISNUMBER('Total GW EIA'!F23),ISNUMBER('Total GW EIA'!F22),'Total GW EIA'!F22&gt;0),('Total GW EIA'!F23 - 'Total GW EIA'!F22)/'Total GW EIA'!$P23,0)</f>
        <v>0</v>
      </c>
      <c r="G13">
        <f>IF(AND(ISNUMBER('Total GW EIA'!G23),ISNUMBER('Total GW EIA'!G22),'Total GW EIA'!G22&gt;0),('Total GW EIA'!G23 - 'Total GW EIA'!G22)/'Total GW EIA'!$P23,0)</f>
        <v>0</v>
      </c>
      <c r="H13">
        <f>IF(AND(ISNUMBER('Total GW EIA'!H23),ISNUMBER('Total GW EIA'!H22),'Total GW EIA'!H22&gt;0),('Total GW EIA'!H23 - 'Total GW EIA'!H22)/'Total GW EIA'!$P23,0)</f>
        <v>1.6781083142639201E-2</v>
      </c>
      <c r="I13">
        <f>IF(AND(ISNUMBER('Total GW EIA'!I23),ISNUMBER('Total GW EIA'!I22),'Total GW EIA'!I22&gt;0),('Total GW EIA'!I23 - 'Total GW EIA'!I22)/'Total GW EIA'!$P23,0)</f>
        <v>2.0594965675057211E-4</v>
      </c>
      <c r="J13">
        <f>IF(AND(ISNUMBER('Total GW EIA'!J23),ISNUMBER('Total GW EIA'!J22),'Total GW EIA'!J22&gt;0),('Total GW EIA'!J23 - 'Total GW EIA'!J22)/'Total GW EIA'!$P23,0)</f>
        <v>0</v>
      </c>
      <c r="K13">
        <f>IF(AND(ISNUMBER('Total GW EIA'!K23),ISNUMBER('Total GW EIA'!K22),'Total GW EIA'!K22&gt;0),('Total GW EIA'!K23 - 'Total GW EIA'!K22)/'Total GW EIA'!$P23,0)</f>
        <v>0</v>
      </c>
      <c r="L13">
        <f>IF(AND(ISNUMBER('Total GW EIA'!L23),ISNUMBER('Total GW EIA'!L22),'Total GW EIA'!L22&gt;0),('Total GW EIA'!L23 - 'Total GW EIA'!L22)/'Total GW EIA'!$P23,0)</f>
        <v>0</v>
      </c>
      <c r="M13">
        <f>IF(AND(ISNUMBER('Total GW EIA'!M23),ISNUMBER('Total GW EIA'!M22),'Total GW EIA'!M22&gt;0),('Total GW EIA'!M23 - 'Total GW EIA'!M22)/'Total GW EIA'!$P23,0)</f>
        <v>0</v>
      </c>
      <c r="N13">
        <f>IF(AND(ISNUMBER('Total GW EIA'!N23),ISNUMBER('Total GW EIA'!N22),'Total GW EIA'!N22&gt;0),('Total GW EIA'!N23 - 'Total GW EIA'!N22)/'Total GW EIA'!$P23,0)</f>
        <v>1.6987032799389783E-2</v>
      </c>
      <c r="O13">
        <f>IF(AND(ISNUMBER('Total GW EIA'!O23),ISNUMBER('Total GW EIA'!O22),'Total GW EIA'!O22&gt;0),('Total GW EIA'!O23 - 'Total GW EIA'!O22)/'Total GW EIA'!$P23,0)</f>
        <v>0</v>
      </c>
      <c r="P13">
        <f>IF(AND(ISNUMBER('Total GW EIA'!P23),ISNUMBER('Total GW EIA'!P22),'Total GW EIA'!P22&gt;0),('Total GW EIA'!P23 - 'Total GW EIA'!P22)/'Total GW EIA'!$P23,0)</f>
        <v>8.6956521739130377E-2</v>
      </c>
    </row>
    <row r="14" spans="1:17" ht="14.65" x14ac:dyDescent="0.85">
      <c r="A14" s="271">
        <v>1958</v>
      </c>
      <c r="B14">
        <f>IF(AND(ISNUMBER('Total GW EIA'!B24),ISNUMBER('Total GW EIA'!B23),'Total GW EIA'!B23&gt;0),('Total GW EIA'!B24 - 'Total GW EIA'!B23)/'Total GW EIA'!$P24,0)</f>
        <v>0</v>
      </c>
      <c r="C14">
        <f>IF(AND(ISNUMBER('Total GW EIA'!C24),ISNUMBER('Total GW EIA'!C23),'Total GW EIA'!C23&gt;0),('Total GW EIA'!C24 - 'Total GW EIA'!C23)/'Total GW EIA'!$P24,0)</f>
        <v>0</v>
      </c>
      <c r="D14">
        <f>IF(AND(ISNUMBER('Total GW EIA'!D24),ISNUMBER('Total GW EIA'!D23),'Total GW EIA'!D23&gt;0),('Total GW EIA'!D24 - 'Total GW EIA'!D23)/'Total GW EIA'!$P24,0)</f>
        <v>0</v>
      </c>
      <c r="E14">
        <f>IF(AND(ISNUMBER('Total GW EIA'!E24),ISNUMBER('Total GW EIA'!E23),'Total GW EIA'!E23&gt;0),('Total GW EIA'!E24 - 'Total GW EIA'!E23)/'Total GW EIA'!$P24,0)</f>
        <v>7.2575017445917586E-2</v>
      </c>
      <c r="F14">
        <f>IF(AND(ISNUMBER('Total GW EIA'!F24),ISNUMBER('Total GW EIA'!F23),'Total GW EIA'!F23&gt;0),('Total GW EIA'!F24 - 'Total GW EIA'!F23)/'Total GW EIA'!$P24,0)</f>
        <v>0</v>
      </c>
      <c r="G14">
        <f>IF(AND(ISNUMBER('Total GW EIA'!G24),ISNUMBER('Total GW EIA'!G23),'Total GW EIA'!G23&gt;0),('Total GW EIA'!G24 - 'Total GW EIA'!G23)/'Total GW EIA'!$P24,0)</f>
        <v>0</v>
      </c>
      <c r="H14">
        <f>IF(AND(ISNUMBER('Total GW EIA'!H24),ISNUMBER('Total GW EIA'!H23),'Total GW EIA'!H23&gt;0),('Total GW EIA'!H24 - 'Total GW EIA'!H23)/'Total GW EIA'!$P24,0)</f>
        <v>1.2561060711793444E-2</v>
      </c>
      <c r="I14">
        <f>IF(AND(ISNUMBER('Total GW EIA'!I24),ISNUMBER('Total GW EIA'!I23),'Total GW EIA'!I23&gt;0),('Total GW EIA'!I24 - 'Total GW EIA'!I23)/'Total GW EIA'!$P24,0)</f>
        <v>0</v>
      </c>
      <c r="J14">
        <f>IF(AND(ISNUMBER('Total GW EIA'!J24),ISNUMBER('Total GW EIA'!J23),'Total GW EIA'!J23&gt;0),('Total GW EIA'!J24 - 'Total GW EIA'!J23)/'Total GW EIA'!$P24,0)</f>
        <v>0</v>
      </c>
      <c r="K14">
        <f>IF(AND(ISNUMBER('Total GW EIA'!K24),ISNUMBER('Total GW EIA'!K23),'Total GW EIA'!K23&gt;0),('Total GW EIA'!K24 - 'Total GW EIA'!K23)/'Total GW EIA'!$P24,0)</f>
        <v>0</v>
      </c>
      <c r="L14">
        <f>IF(AND(ISNUMBER('Total GW EIA'!L24),ISNUMBER('Total GW EIA'!L23),'Total GW EIA'!L23&gt;0),('Total GW EIA'!L24 - 'Total GW EIA'!L23)/'Total GW EIA'!$P24,0)</f>
        <v>0</v>
      </c>
      <c r="M14">
        <f>IF(AND(ISNUMBER('Total GW EIA'!M24),ISNUMBER('Total GW EIA'!M23),'Total GW EIA'!M23&gt;0),('Total GW EIA'!M24 - 'Total GW EIA'!M23)/'Total GW EIA'!$P24,0)</f>
        <v>0</v>
      </c>
      <c r="N14">
        <f>IF(AND(ISNUMBER('Total GW EIA'!N24),ISNUMBER('Total GW EIA'!N23),'Total GW EIA'!N23&gt;0),('Total GW EIA'!N24 - 'Total GW EIA'!N23)/'Total GW EIA'!$P24,0)</f>
        <v>1.2561060711793444E-2</v>
      </c>
      <c r="O14">
        <f>IF(AND(ISNUMBER('Total GW EIA'!O24),ISNUMBER('Total GW EIA'!O23),'Total GW EIA'!O23&gt;0),('Total GW EIA'!O24 - 'Total GW EIA'!O23)/'Total GW EIA'!$P24,0)</f>
        <v>0</v>
      </c>
      <c r="P14">
        <f>IF(AND(ISNUMBER('Total GW EIA'!P24),ISNUMBER('Total GW EIA'!P23),'Total GW EIA'!P23&gt;0),('Total GW EIA'!P24 - 'Total GW EIA'!P23)/'Total GW EIA'!$P24,0)</f>
        <v>8.5136078157711209E-2</v>
      </c>
    </row>
    <row r="15" spans="1:17" ht="14.65" x14ac:dyDescent="0.85">
      <c r="A15" s="271">
        <v>1959</v>
      </c>
      <c r="B15">
        <f>IF(AND(ISNUMBER('Total GW EIA'!B25),ISNUMBER('Total GW EIA'!B24),'Total GW EIA'!B24&gt;0),('Total GW EIA'!B25 - 'Total GW EIA'!B24)/'Total GW EIA'!$P25,0)</f>
        <v>0</v>
      </c>
      <c r="C15">
        <f>IF(AND(ISNUMBER('Total GW EIA'!C25),ISNUMBER('Total GW EIA'!C24),'Total GW EIA'!C24&gt;0),('Total GW EIA'!C25 - 'Total GW EIA'!C24)/'Total GW EIA'!$P25,0)</f>
        <v>0</v>
      </c>
      <c r="D15">
        <f>IF(AND(ISNUMBER('Total GW EIA'!D25),ISNUMBER('Total GW EIA'!D24),'Total GW EIA'!D24&gt;0),('Total GW EIA'!D25 - 'Total GW EIA'!D24)/'Total GW EIA'!$P25,0)</f>
        <v>0</v>
      </c>
      <c r="E15">
        <f>IF(AND(ISNUMBER('Total GW EIA'!E25),ISNUMBER('Total GW EIA'!E24),'Total GW EIA'!E24&gt;0),('Total GW EIA'!E25 - 'Total GW EIA'!E24)/'Total GW EIA'!$P25,0)</f>
        <v>6.6067992302758158E-2</v>
      </c>
      <c r="F15">
        <f>IF(AND(ISNUMBER('Total GW EIA'!F25),ISNUMBER('Total GW EIA'!F24),'Total GW EIA'!F24&gt;0),('Total GW EIA'!F25 - 'Total GW EIA'!F24)/'Total GW EIA'!$P25,0)</f>
        <v>0</v>
      </c>
      <c r="G15">
        <f>IF(AND(ISNUMBER('Total GW EIA'!G25),ISNUMBER('Total GW EIA'!G24),'Total GW EIA'!G24&gt;0),('Total GW EIA'!G25 - 'Total GW EIA'!G24)/'Total GW EIA'!$P25,0)</f>
        <v>0</v>
      </c>
      <c r="H15">
        <f>IF(AND(ISNUMBER('Total GW EIA'!H25),ISNUMBER('Total GW EIA'!H24),'Total GW EIA'!H24&gt;0),('Total GW EIA'!H25 - 'Total GW EIA'!H24)/'Total GW EIA'!$P25,0)</f>
        <v>1.475304682488773E-2</v>
      </c>
      <c r="I15">
        <f>IF(AND(ISNUMBER('Total GW EIA'!I25),ISNUMBER('Total GW EIA'!I24),'Total GW EIA'!I24&gt;0),('Total GW EIA'!I25 - 'Total GW EIA'!I24)/'Total GW EIA'!$P25,0)</f>
        <v>0</v>
      </c>
      <c r="J15">
        <f>IF(AND(ISNUMBER('Total GW EIA'!J25),ISNUMBER('Total GW EIA'!J24),'Total GW EIA'!J24&gt;0),('Total GW EIA'!J25 - 'Total GW EIA'!J24)/'Total GW EIA'!$P25,0)</f>
        <v>0</v>
      </c>
      <c r="K15">
        <f>IF(AND(ISNUMBER('Total GW EIA'!K25),ISNUMBER('Total GW EIA'!K24),'Total GW EIA'!K24&gt;0),('Total GW EIA'!K25 - 'Total GW EIA'!K24)/'Total GW EIA'!$P25,0)</f>
        <v>0</v>
      </c>
      <c r="L15">
        <f>IF(AND(ISNUMBER('Total GW EIA'!L25),ISNUMBER('Total GW EIA'!L24),'Total GW EIA'!L24&gt;0),('Total GW EIA'!L25 - 'Total GW EIA'!L24)/'Total GW EIA'!$P25,0)</f>
        <v>0</v>
      </c>
      <c r="M15">
        <f>IF(AND(ISNUMBER('Total GW EIA'!M25),ISNUMBER('Total GW EIA'!M24),'Total GW EIA'!M24&gt;0),('Total GW EIA'!M25 - 'Total GW EIA'!M24)/'Total GW EIA'!$P25,0)</f>
        <v>0</v>
      </c>
      <c r="N15">
        <f>IF(AND(ISNUMBER('Total GW EIA'!N25),ISNUMBER('Total GW EIA'!N24),'Total GW EIA'!N24&gt;0),('Total GW EIA'!N25 - 'Total GW EIA'!N24)/'Total GW EIA'!$P25,0)</f>
        <v>1.475304682488773E-2</v>
      </c>
      <c r="O15">
        <f>IF(AND(ISNUMBER('Total GW EIA'!O25),ISNUMBER('Total GW EIA'!O24),'Total GW EIA'!O24&gt;0),('Total GW EIA'!O25 - 'Total GW EIA'!O24)/'Total GW EIA'!$P25,0)</f>
        <v>0</v>
      </c>
      <c r="P15">
        <f>IF(AND(ISNUMBER('Total GW EIA'!P25),ISNUMBER('Total GW EIA'!P24),'Total GW EIA'!P24&gt;0),('Total GW EIA'!P25 - 'Total GW EIA'!P24)/'Total GW EIA'!$P25,0)</f>
        <v>8.0821039127645891E-2</v>
      </c>
    </row>
    <row r="16" spans="1:17" ht="14.65" x14ac:dyDescent="0.85">
      <c r="A16" s="271">
        <v>1960</v>
      </c>
      <c r="B16">
        <f>IF(AND(ISNUMBER('Total GW EIA'!B26),ISNUMBER('Total GW EIA'!B25),'Total GW EIA'!B25&gt;0),('Total GW EIA'!B26 - 'Total GW EIA'!B25)/'Total GW EIA'!$P26,0)</f>
        <v>0</v>
      </c>
      <c r="C16">
        <f>IF(AND(ISNUMBER('Total GW EIA'!C26),ISNUMBER('Total GW EIA'!C25),'Total GW EIA'!C25&gt;0),('Total GW EIA'!C26 - 'Total GW EIA'!C25)/'Total GW EIA'!$P26,0)</f>
        <v>0</v>
      </c>
      <c r="D16">
        <f>IF(AND(ISNUMBER('Total GW EIA'!D26),ISNUMBER('Total GW EIA'!D25),'Total GW EIA'!D25&gt;0),('Total GW EIA'!D26 - 'Total GW EIA'!D25)/'Total GW EIA'!$P26,0)</f>
        <v>0</v>
      </c>
      <c r="E16">
        <f>IF(AND(ISNUMBER('Total GW EIA'!E26),ISNUMBER('Total GW EIA'!E25),'Total GW EIA'!E25&gt;0),('Total GW EIA'!E26 - 'Total GW EIA'!E25)/'Total GW EIA'!$P26,0)</f>
        <v>5.8845002992220223E-2</v>
      </c>
      <c r="F16">
        <f>IF(AND(ISNUMBER('Total GW EIA'!F26),ISNUMBER('Total GW EIA'!F25),'Total GW EIA'!F25&gt;0),('Total GW EIA'!F26 - 'Total GW EIA'!F25)/'Total GW EIA'!$P26,0)</f>
        <v>2.1304608019150208E-3</v>
      </c>
      <c r="G16">
        <f>IF(AND(ISNUMBER('Total GW EIA'!G26),ISNUMBER('Total GW EIA'!G25),'Total GW EIA'!G25&gt;0),('Total GW EIA'!G26 - 'Total GW EIA'!G25)/'Total GW EIA'!$P26,0)</f>
        <v>0</v>
      </c>
      <c r="H16">
        <f>IF(AND(ISNUMBER('Total GW EIA'!H26),ISNUMBER('Total GW EIA'!H25),'Total GW EIA'!H25&gt;0),('Total GW EIA'!H26 - 'Total GW EIA'!H25)/'Total GW EIA'!$P26,0)</f>
        <v>5.9844404548174751E-3</v>
      </c>
      <c r="I16">
        <f>IF(AND(ISNUMBER('Total GW EIA'!I26),ISNUMBER('Total GW EIA'!I25),'Total GW EIA'!I25&gt;0),('Total GW EIA'!I26 - 'Total GW EIA'!I25)/'Total GW EIA'!$P26,0)</f>
        <v>0</v>
      </c>
      <c r="J16">
        <f>IF(AND(ISNUMBER('Total GW EIA'!J26),ISNUMBER('Total GW EIA'!J25),'Total GW EIA'!J25&gt;0),('Total GW EIA'!J26 - 'Total GW EIA'!J25)/'Total GW EIA'!$P26,0)</f>
        <v>0</v>
      </c>
      <c r="K16">
        <f>IF(AND(ISNUMBER('Total GW EIA'!K26),ISNUMBER('Total GW EIA'!K25),'Total GW EIA'!K25&gt;0),('Total GW EIA'!K26 - 'Total GW EIA'!K25)/'Total GW EIA'!$P26,0)</f>
        <v>0</v>
      </c>
      <c r="L16">
        <f>IF(AND(ISNUMBER('Total GW EIA'!L26),ISNUMBER('Total GW EIA'!L25),'Total GW EIA'!L25&gt;0),('Total GW EIA'!L26 - 'Total GW EIA'!L25)/'Total GW EIA'!$P26,0)</f>
        <v>0</v>
      </c>
      <c r="M16">
        <f>IF(AND(ISNUMBER('Total GW EIA'!M26),ISNUMBER('Total GW EIA'!M25),'Total GW EIA'!M25&gt;0),('Total GW EIA'!M26 - 'Total GW EIA'!M25)/'Total GW EIA'!$P26,0)</f>
        <v>0</v>
      </c>
      <c r="N16">
        <f>IF(AND(ISNUMBER('Total GW EIA'!N26),ISNUMBER('Total GW EIA'!N25),'Total GW EIA'!N25&gt;0),('Total GW EIA'!N26 - 'Total GW EIA'!N25)/'Total GW EIA'!$P26,0)</f>
        <v>6.050269299820484E-3</v>
      </c>
      <c r="O16">
        <f>IF(AND(ISNUMBER('Total GW EIA'!O26),ISNUMBER('Total GW EIA'!O25),'Total GW EIA'!O25&gt;0),('Total GW EIA'!O26 - 'Total GW EIA'!O25)/'Total GW EIA'!$P26,0)</f>
        <v>0</v>
      </c>
      <c r="P16">
        <f>IF(AND(ISNUMBER('Total GW EIA'!P26),ISNUMBER('Total GW EIA'!P25),'Total GW EIA'!P25&gt;0),('Total GW EIA'!P26 - 'Total GW EIA'!P25)/'Total GW EIA'!$P26,0)</f>
        <v>6.7025733093955653E-2</v>
      </c>
    </row>
    <row r="17" spans="1:16" ht="14.65" x14ac:dyDescent="0.85">
      <c r="A17" s="271">
        <v>1961</v>
      </c>
      <c r="B17">
        <f>IF(AND(ISNUMBER('Total GW EIA'!B27),ISNUMBER('Total GW EIA'!B26),'Total GW EIA'!B26&gt;0),('Total GW EIA'!B27 - 'Total GW EIA'!B26)/'Total GW EIA'!$P27,0)</f>
        <v>0</v>
      </c>
      <c r="C17">
        <f>IF(AND(ISNUMBER('Total GW EIA'!C27),ISNUMBER('Total GW EIA'!C26),'Total GW EIA'!C26&gt;0),('Total GW EIA'!C27 - 'Total GW EIA'!C26)/'Total GW EIA'!$P27,0)</f>
        <v>0</v>
      </c>
      <c r="D17">
        <f>IF(AND(ISNUMBER('Total GW EIA'!D27),ISNUMBER('Total GW EIA'!D26),'Total GW EIA'!D26&gt;0),('Total GW EIA'!D27 - 'Total GW EIA'!D26)/'Total GW EIA'!$P27,0)</f>
        <v>0</v>
      </c>
      <c r="E17">
        <f>IF(AND(ISNUMBER('Total GW EIA'!E27),ISNUMBER('Total GW EIA'!E26),'Total GW EIA'!E26&gt;0),('Total GW EIA'!E27 - 'Total GW EIA'!E26)/'Total GW EIA'!$P27,0)</f>
        <v>3.9106145251396648E-2</v>
      </c>
      <c r="F17">
        <f>IF(AND(ISNUMBER('Total GW EIA'!F27),ISNUMBER('Total GW EIA'!F26),'Total GW EIA'!F26&gt;0),('Total GW EIA'!F27 - 'Total GW EIA'!F26)/'Total GW EIA'!$P27,0)</f>
        <v>0</v>
      </c>
      <c r="G17">
        <f>IF(AND(ISNUMBER('Total GW EIA'!G27),ISNUMBER('Total GW EIA'!G26),'Total GW EIA'!G26&gt;0),('Total GW EIA'!G27 - 'Total GW EIA'!G26)/'Total GW EIA'!$P27,0)</f>
        <v>0</v>
      </c>
      <c r="H17">
        <f>IF(AND(ISNUMBER('Total GW EIA'!H27),ISNUMBER('Total GW EIA'!H26),'Total GW EIA'!H26&gt;0),('Total GW EIA'!H27 - 'Total GW EIA'!H26)/'Total GW EIA'!$P27,0)</f>
        <v>2.7374301675977684E-2</v>
      </c>
      <c r="I17">
        <f>IF(AND(ISNUMBER('Total GW EIA'!I27),ISNUMBER('Total GW EIA'!I26),'Total GW EIA'!I26&gt;0),('Total GW EIA'!I27 - 'Total GW EIA'!I26)/'Total GW EIA'!$P27,0)</f>
        <v>0</v>
      </c>
      <c r="J17">
        <f>IF(AND(ISNUMBER('Total GW EIA'!J27),ISNUMBER('Total GW EIA'!J26),'Total GW EIA'!J26&gt;0),('Total GW EIA'!J27 - 'Total GW EIA'!J26)/'Total GW EIA'!$P27,0)</f>
        <v>0</v>
      </c>
      <c r="K17">
        <f>IF(AND(ISNUMBER('Total GW EIA'!K27),ISNUMBER('Total GW EIA'!K26),'Total GW EIA'!K26&gt;0),('Total GW EIA'!K27 - 'Total GW EIA'!K26)/'Total GW EIA'!$P27,0)</f>
        <v>0</v>
      </c>
      <c r="L17">
        <f>IF(AND(ISNUMBER('Total GW EIA'!L27),ISNUMBER('Total GW EIA'!L26),'Total GW EIA'!L26&gt;0),('Total GW EIA'!L27 - 'Total GW EIA'!L26)/'Total GW EIA'!$P27,0)</f>
        <v>0</v>
      </c>
      <c r="M17">
        <f>IF(AND(ISNUMBER('Total GW EIA'!M27),ISNUMBER('Total GW EIA'!M26),'Total GW EIA'!M26&gt;0),('Total GW EIA'!M27 - 'Total GW EIA'!M26)/'Total GW EIA'!$P27,0)</f>
        <v>0</v>
      </c>
      <c r="N17">
        <f>IF(AND(ISNUMBER('Total GW EIA'!N27),ISNUMBER('Total GW EIA'!N26),'Total GW EIA'!N26&gt;0),('Total GW EIA'!N27 - 'Total GW EIA'!N26)/'Total GW EIA'!$P27,0)</f>
        <v>2.7374301675977646E-2</v>
      </c>
      <c r="O17">
        <f>IF(AND(ISNUMBER('Total GW EIA'!O27),ISNUMBER('Total GW EIA'!O26),'Total GW EIA'!O26&gt;0),('Total GW EIA'!O27 - 'Total GW EIA'!O26)/'Total GW EIA'!$P27,0)</f>
        <v>0</v>
      </c>
      <c r="P17">
        <f>IF(AND(ISNUMBER('Total GW EIA'!P27),ISNUMBER('Total GW EIA'!P26),'Total GW EIA'!P26&gt;0),('Total GW EIA'!P27 - 'Total GW EIA'!P26)/'Total GW EIA'!$P27,0)</f>
        <v>6.6480446927374329E-2</v>
      </c>
    </row>
    <row r="18" spans="1:16" ht="14.65" x14ac:dyDescent="0.85">
      <c r="A18" s="271">
        <v>1962</v>
      </c>
      <c r="B18">
        <f>IF(AND(ISNUMBER('Total GW EIA'!B28),ISNUMBER('Total GW EIA'!B27),'Total GW EIA'!B27&gt;0),('Total GW EIA'!B28 - 'Total GW EIA'!B27)/'Total GW EIA'!$P28,0)</f>
        <v>0</v>
      </c>
      <c r="C18">
        <f>IF(AND(ISNUMBER('Total GW EIA'!C28),ISNUMBER('Total GW EIA'!C27),'Total GW EIA'!C27&gt;0),('Total GW EIA'!C28 - 'Total GW EIA'!C27)/'Total GW EIA'!$P28,0)</f>
        <v>0</v>
      </c>
      <c r="D18">
        <f>IF(AND(ISNUMBER('Total GW EIA'!D28),ISNUMBER('Total GW EIA'!D27),'Total GW EIA'!D27&gt;0),('Total GW EIA'!D28 - 'Total GW EIA'!D27)/'Total GW EIA'!$P28,0)</f>
        <v>0</v>
      </c>
      <c r="E18">
        <f>IF(AND(ISNUMBER('Total GW EIA'!E28),ISNUMBER('Total GW EIA'!E27),'Total GW EIA'!E27&gt;0),('Total GW EIA'!E28 - 'Total GW EIA'!E27)/'Total GW EIA'!$P28,0)</f>
        <v>4.933888599687667E-2</v>
      </c>
      <c r="F18">
        <f>IF(AND(ISNUMBER('Total GW EIA'!F28),ISNUMBER('Total GW EIA'!F27),'Total GW EIA'!F27&gt;0),('Total GW EIA'!F28 - 'Total GW EIA'!F27)/'Total GW EIA'!$P28,0)</f>
        <v>1.6762103071317023E-3</v>
      </c>
      <c r="G18">
        <f>IF(AND(ISNUMBER('Total GW EIA'!G28),ISNUMBER('Total GW EIA'!G27),'Total GW EIA'!G27&gt;0),('Total GW EIA'!G28 - 'Total GW EIA'!G27)/'Total GW EIA'!$P28,0)</f>
        <v>0</v>
      </c>
      <c r="H18">
        <f>IF(AND(ISNUMBER('Total GW EIA'!H28),ISNUMBER('Total GW EIA'!H27),'Total GW EIA'!H27&gt;0),('Total GW EIA'!H28 - 'Total GW EIA'!H27)/'Total GW EIA'!$P28,0)</f>
        <v>1.7178552837064015E-2</v>
      </c>
      <c r="I18">
        <f>IF(AND(ISNUMBER('Total GW EIA'!I28),ISNUMBER('Total GW EIA'!I27),'Total GW EIA'!I27&gt;0),('Total GW EIA'!I28 - 'Total GW EIA'!I27)/'Total GW EIA'!$P28,0)</f>
        <v>0</v>
      </c>
      <c r="J18">
        <f>IF(AND(ISNUMBER('Total GW EIA'!J28),ISNUMBER('Total GW EIA'!J27),'Total GW EIA'!J27&gt;0),('Total GW EIA'!J28 - 'Total GW EIA'!J27)/'Total GW EIA'!$P28,0)</f>
        <v>0</v>
      </c>
      <c r="K18">
        <f>IF(AND(ISNUMBER('Total GW EIA'!K28),ISNUMBER('Total GW EIA'!K27),'Total GW EIA'!K27&gt;0),('Total GW EIA'!K28 - 'Total GW EIA'!K27)/'Total GW EIA'!$P28,0)</f>
        <v>0</v>
      </c>
      <c r="L18">
        <f>IF(AND(ISNUMBER('Total GW EIA'!L28),ISNUMBER('Total GW EIA'!L27),'Total GW EIA'!L27&gt;0),('Total GW EIA'!L28 - 'Total GW EIA'!L27)/'Total GW EIA'!$P28,0)</f>
        <v>0</v>
      </c>
      <c r="M18">
        <f>IF(AND(ISNUMBER('Total GW EIA'!M28),ISNUMBER('Total GW EIA'!M27),'Total GW EIA'!M27&gt;0),('Total GW EIA'!M28 - 'Total GW EIA'!M27)/'Total GW EIA'!$P28,0)</f>
        <v>0</v>
      </c>
      <c r="N18">
        <f>IF(AND(ISNUMBER('Total GW EIA'!N28),ISNUMBER('Total GW EIA'!N27),'Total GW EIA'!N27&gt;0),('Total GW EIA'!N28 - 'Total GW EIA'!N27)/'Total GW EIA'!$P28,0)</f>
        <v>1.7178552837064053E-2</v>
      </c>
      <c r="O18">
        <f>IF(AND(ISNUMBER('Total GW EIA'!O28),ISNUMBER('Total GW EIA'!O27),'Total GW EIA'!O27&gt;0),('Total GW EIA'!O28 - 'Total GW EIA'!O27)/'Total GW EIA'!$P28,0)</f>
        <v>0</v>
      </c>
      <c r="P18">
        <f>IF(AND(ISNUMBER('Total GW EIA'!P28),ISNUMBER('Total GW EIA'!P27),'Total GW EIA'!P27&gt;0),('Total GW EIA'!P28 - 'Total GW EIA'!P27)/'Total GW EIA'!$P28,0)</f>
        <v>6.8193649141072329E-2</v>
      </c>
    </row>
    <row r="19" spans="1:16" x14ac:dyDescent="0.85">
      <c r="A19" s="271">
        <v>1963</v>
      </c>
      <c r="B19">
        <f>IF(AND(ISNUMBER('Total GW EIA'!B29),ISNUMBER('Total GW EIA'!B28),'Total GW EIA'!B28&gt;0),('Total GW EIA'!B29 - 'Total GW EIA'!B28)/'Total GW EIA'!$P29,0)</f>
        <v>0</v>
      </c>
      <c r="C19">
        <f>IF(AND(ISNUMBER('Total GW EIA'!C29),ISNUMBER('Total GW EIA'!C28),'Total GW EIA'!C28&gt;0),('Total GW EIA'!C29 - 'Total GW EIA'!C28)/'Total GW EIA'!$P29,0)</f>
        <v>0</v>
      </c>
      <c r="D19">
        <f>IF(AND(ISNUMBER('Total GW EIA'!D29),ISNUMBER('Total GW EIA'!D28),'Total GW EIA'!D28&gt;0),('Total GW EIA'!D29 - 'Total GW EIA'!D28)/'Total GW EIA'!$P29,0)</f>
        <v>0</v>
      </c>
      <c r="E19">
        <f>IF(AND(ISNUMBER('Total GW EIA'!E29),ISNUMBER('Total GW EIA'!E28),'Total GW EIA'!E28&gt;0),('Total GW EIA'!E29 - 'Total GW EIA'!E28)/'Total GW EIA'!$P29,0)</f>
        <v>6.9275154983309425E-2</v>
      </c>
      <c r="F19">
        <f>IF(AND(ISNUMBER('Total GW EIA'!F29),ISNUMBER('Total GW EIA'!F28),'Total GW EIA'!F28&gt;0),('Total GW EIA'!F29 - 'Total GW EIA'!F28)/'Total GW EIA'!$P29,0)</f>
        <v>2.8612303290414908E-4</v>
      </c>
      <c r="G19">
        <f>IF(AND(ISNUMBER('Total GW EIA'!G29),ISNUMBER('Total GW EIA'!G28),'Total GW EIA'!G28&gt;0),('Total GW EIA'!G29 - 'Total GW EIA'!G28)/'Total GW EIA'!$P29,0)</f>
        <v>0</v>
      </c>
      <c r="H19">
        <f>IF(AND(ISNUMBER('Total GW EIA'!H29),ISNUMBER('Total GW EIA'!H28),'Total GW EIA'!H28&gt;0),('Total GW EIA'!H29 - 'Total GW EIA'!H28)/'Total GW EIA'!$P29,0)</f>
        <v>1.4306151645207439E-2</v>
      </c>
      <c r="I19">
        <f>IF(AND(ISNUMBER('Total GW EIA'!I29),ISNUMBER('Total GW EIA'!I28),'Total GW EIA'!I28&gt;0),('Total GW EIA'!I29 - 'Total GW EIA'!I28)/'Total GW EIA'!$P29,0)</f>
        <v>0</v>
      </c>
      <c r="J19">
        <f>IF(AND(ISNUMBER('Total GW EIA'!J29),ISNUMBER('Total GW EIA'!J28),'Total GW EIA'!J28&gt;0),('Total GW EIA'!J29 - 'Total GW EIA'!J28)/'Total GW EIA'!$P29,0)</f>
        <v>0</v>
      </c>
      <c r="K19">
        <f>IF(AND(ISNUMBER('Total GW EIA'!K29),ISNUMBER('Total GW EIA'!K28),'Total GW EIA'!K28&gt;0),('Total GW EIA'!K29 - 'Total GW EIA'!K28)/'Total GW EIA'!$P29,0)</f>
        <v>6.1993323795898908E-5</v>
      </c>
      <c r="L19">
        <f>IF(AND(ISNUMBER('Total GW EIA'!L29),ISNUMBER('Total GW EIA'!L28),'Total GW EIA'!L28&gt;0),('Total GW EIA'!L29 - 'Total GW EIA'!L28)/'Total GW EIA'!$P29,0)</f>
        <v>0</v>
      </c>
      <c r="M19">
        <f>IF(AND(ISNUMBER('Total GW EIA'!M29),ISNUMBER('Total GW EIA'!M28),'Total GW EIA'!M28&gt;0),('Total GW EIA'!M29 - 'Total GW EIA'!M28)/'Total GW EIA'!$P29,0)</f>
        <v>0</v>
      </c>
      <c r="N19">
        <f>IF(AND(ISNUMBER('Total GW EIA'!N29),ISNUMBER('Total GW EIA'!N28),'Total GW EIA'!N28&gt;0),('Total GW EIA'!N29 - 'Total GW EIA'!N28)/'Total GW EIA'!$P29,0)</f>
        <v>1.436814496900333E-2</v>
      </c>
      <c r="O19">
        <f>IF(AND(ISNUMBER('Total GW EIA'!O29),ISNUMBER('Total GW EIA'!O28),'Total GW EIA'!O28&gt;0),('Total GW EIA'!O29 - 'Total GW EIA'!O28)/'Total GW EIA'!$P29,0)</f>
        <v>0</v>
      </c>
      <c r="P19">
        <f>IF(AND(ISNUMBER('Total GW EIA'!P29),ISNUMBER('Total GW EIA'!P28),'Total GW EIA'!P28&gt;0),('Total GW EIA'!P29 - 'Total GW EIA'!P28)/'Total GW EIA'!$P29,0)</f>
        <v>8.3929422985216953E-2</v>
      </c>
    </row>
    <row r="20" spans="1:16" x14ac:dyDescent="0.85">
      <c r="A20" s="271">
        <v>1964</v>
      </c>
      <c r="B20">
        <f>IF(AND(ISNUMBER('Total GW EIA'!B30),ISNUMBER('Total GW EIA'!B29),'Total GW EIA'!B29&gt;0),('Total GW EIA'!B30 - 'Total GW EIA'!B29)/'Total GW EIA'!$P30,0)</f>
        <v>0</v>
      </c>
      <c r="C20">
        <f>IF(AND(ISNUMBER('Total GW EIA'!C30),ISNUMBER('Total GW EIA'!C29),'Total GW EIA'!C29&gt;0),('Total GW EIA'!C30 - 'Total GW EIA'!C29)/'Total GW EIA'!$P30,0)</f>
        <v>0</v>
      </c>
      <c r="D20">
        <f>IF(AND(ISNUMBER('Total GW EIA'!D30),ISNUMBER('Total GW EIA'!D29),'Total GW EIA'!D29&gt;0),('Total GW EIA'!D30 - 'Total GW EIA'!D29)/'Total GW EIA'!$P30,0)</f>
        <v>0</v>
      </c>
      <c r="E20">
        <f>IF(AND(ISNUMBER('Total GW EIA'!E30),ISNUMBER('Total GW EIA'!E29),'Total GW EIA'!E29&gt;0),('Total GW EIA'!E30 - 'Total GW EIA'!E29)/'Total GW EIA'!$P30,0)</f>
        <v>5.1855163164953165E-2</v>
      </c>
      <c r="F20">
        <f>IF(AND(ISNUMBER('Total GW EIA'!F30),ISNUMBER('Total GW EIA'!F29),'Total GW EIA'!F29&gt;0),('Total GW EIA'!F30 - 'Total GW EIA'!F29)/'Total GW EIA'!$P30,0)</f>
        <v>0</v>
      </c>
      <c r="G20">
        <f>IF(AND(ISNUMBER('Total GW EIA'!G30),ISNUMBER('Total GW EIA'!G29),'Total GW EIA'!G29&gt;0),('Total GW EIA'!G30 - 'Total GW EIA'!G29)/'Total GW EIA'!$P30,0)</f>
        <v>0</v>
      </c>
      <c r="H20">
        <f>IF(AND(ISNUMBER('Total GW EIA'!H30),ISNUMBER('Total GW EIA'!H29),'Total GW EIA'!H29&gt;0),('Total GW EIA'!H30 - 'Total GW EIA'!H29)/'Total GW EIA'!$P30,0)</f>
        <v>1.0728654447921317E-2</v>
      </c>
      <c r="I20">
        <f>IF(AND(ISNUMBER('Total GW EIA'!I30),ISNUMBER('Total GW EIA'!I29),'Total GW EIA'!I29&gt;0),('Total GW EIA'!I30 - 'Total GW EIA'!I29)/'Total GW EIA'!$P30,0)</f>
        <v>0</v>
      </c>
      <c r="J20">
        <f>IF(AND(ISNUMBER('Total GW EIA'!J30),ISNUMBER('Total GW EIA'!J29),'Total GW EIA'!J29&gt;0),('Total GW EIA'!J30 - 'Total GW EIA'!J29)/'Total GW EIA'!$P30,0)</f>
        <v>0</v>
      </c>
      <c r="K20">
        <f>IF(AND(ISNUMBER('Total GW EIA'!K30),ISNUMBER('Total GW EIA'!K29),'Total GW EIA'!K29&gt;0),('Total GW EIA'!K30 - 'Total GW EIA'!K29)/'Total GW EIA'!$P30,0)</f>
        <v>0</v>
      </c>
      <c r="L20">
        <f>IF(AND(ISNUMBER('Total GW EIA'!L30),ISNUMBER('Total GW EIA'!L29),'Total GW EIA'!L29&gt;0),('Total GW EIA'!L30 - 'Total GW EIA'!L29)/'Total GW EIA'!$P30,0)</f>
        <v>0</v>
      </c>
      <c r="M20">
        <f>IF(AND(ISNUMBER('Total GW EIA'!M30),ISNUMBER('Total GW EIA'!M29),'Total GW EIA'!M29&gt;0),('Total GW EIA'!M30 - 'Total GW EIA'!M29)/'Total GW EIA'!$P30,0)</f>
        <v>0</v>
      </c>
      <c r="N20">
        <f>IF(AND(ISNUMBER('Total GW EIA'!N30),ISNUMBER('Total GW EIA'!N29),'Total GW EIA'!N29&gt;0),('Total GW EIA'!N30 - 'Total GW EIA'!N29)/'Total GW EIA'!$P30,0)</f>
        <v>1.0728654447921317E-2</v>
      </c>
      <c r="O20">
        <f>IF(AND(ISNUMBER('Total GW EIA'!O30),ISNUMBER('Total GW EIA'!O29),'Total GW EIA'!O29&gt;0),('Total GW EIA'!O30 - 'Total GW EIA'!O29)/'Total GW EIA'!$P30,0)</f>
        <v>0</v>
      </c>
      <c r="P20">
        <f>IF(AND(ISNUMBER('Total GW EIA'!P30),ISNUMBER('Total GW EIA'!P29),'Total GW EIA'!P29&gt;0),('Total GW EIA'!P30 - 'Total GW EIA'!P29)/'Total GW EIA'!$P30,0)</f>
        <v>6.258381761287439E-2</v>
      </c>
    </row>
    <row r="21" spans="1:16" x14ac:dyDescent="0.85">
      <c r="A21" s="271">
        <v>1965</v>
      </c>
      <c r="B21">
        <f>IF(AND(ISNUMBER('Total GW EIA'!B31),ISNUMBER('Total GW EIA'!B30),'Total GW EIA'!B30&gt;0),('Total GW EIA'!B31 - 'Total GW EIA'!B30)/'Total GW EIA'!$P31,0)</f>
        <v>0</v>
      </c>
      <c r="C21">
        <f>IF(AND(ISNUMBER('Total GW EIA'!C31),ISNUMBER('Total GW EIA'!C30),'Total GW EIA'!C30&gt;0),('Total GW EIA'!C31 - 'Total GW EIA'!C30)/'Total GW EIA'!$P31,0)</f>
        <v>0</v>
      </c>
      <c r="D21">
        <f>IF(AND(ISNUMBER('Total GW EIA'!D31),ISNUMBER('Total GW EIA'!D30),'Total GW EIA'!D30&gt;0),('Total GW EIA'!D31 - 'Total GW EIA'!D30)/'Total GW EIA'!$P31,0)</f>
        <v>0</v>
      </c>
      <c r="E21">
        <f>IF(AND(ISNUMBER('Total GW EIA'!E31),ISNUMBER('Total GW EIA'!E30),'Total GW EIA'!E30&gt;0),('Total GW EIA'!E31 - 'Total GW EIA'!E30)/'Total GW EIA'!$P31,0)</f>
        <v>4.0459965928449741E-2</v>
      </c>
      <c r="F21">
        <f>IF(AND(ISNUMBER('Total GW EIA'!F31),ISNUMBER('Total GW EIA'!F30),'Total GW EIA'!F30&gt;0),('Total GW EIA'!F31 - 'Total GW EIA'!F30)/'Total GW EIA'!$P31,0)</f>
        <v>0</v>
      </c>
      <c r="G21">
        <f>IF(AND(ISNUMBER('Total GW EIA'!G31),ISNUMBER('Total GW EIA'!G30),'Total GW EIA'!G30&gt;0),('Total GW EIA'!G31 - 'Total GW EIA'!G30)/'Total GW EIA'!$P31,0)</f>
        <v>0</v>
      </c>
      <c r="H21">
        <f>IF(AND(ISNUMBER('Total GW EIA'!H31),ISNUMBER('Total GW EIA'!H30),'Total GW EIA'!H30&gt;0),('Total GW EIA'!H31 - 'Total GW EIA'!H30)/'Total GW EIA'!$P31,0)</f>
        <v>6.8143100511073307E-3</v>
      </c>
      <c r="I21">
        <f>IF(AND(ISNUMBER('Total GW EIA'!I31),ISNUMBER('Total GW EIA'!I30),'Total GW EIA'!I30&gt;0),('Total GW EIA'!I31 - 'Total GW EIA'!I30)/'Total GW EIA'!$P31,0)</f>
        <v>0</v>
      </c>
      <c r="J21">
        <f>IF(AND(ISNUMBER('Total GW EIA'!J31),ISNUMBER('Total GW EIA'!J30),'Total GW EIA'!J30&gt;0),('Total GW EIA'!J31 - 'Total GW EIA'!J30)/'Total GW EIA'!$P31,0)</f>
        <v>0</v>
      </c>
      <c r="K21">
        <f>IF(AND(ISNUMBER('Total GW EIA'!K31),ISNUMBER('Total GW EIA'!K30),'Total GW EIA'!K30&gt;0),('Total GW EIA'!K31 - 'Total GW EIA'!K30)/'Total GW EIA'!$P31,0)</f>
        <v>0</v>
      </c>
      <c r="L21">
        <f>IF(AND(ISNUMBER('Total GW EIA'!L31),ISNUMBER('Total GW EIA'!L30),'Total GW EIA'!L30&gt;0),('Total GW EIA'!L31 - 'Total GW EIA'!L30)/'Total GW EIA'!$P31,0)</f>
        <v>0</v>
      </c>
      <c r="M21">
        <f>IF(AND(ISNUMBER('Total GW EIA'!M31),ISNUMBER('Total GW EIA'!M30),'Total GW EIA'!M30&gt;0),('Total GW EIA'!M31 - 'Total GW EIA'!M30)/'Total GW EIA'!$P31,0)</f>
        <v>0</v>
      </c>
      <c r="N21">
        <f>IF(AND(ISNUMBER('Total GW EIA'!N31),ISNUMBER('Total GW EIA'!N30),'Total GW EIA'!N30&gt;0),('Total GW EIA'!N31 - 'Total GW EIA'!N30)/'Total GW EIA'!$P31,0)</f>
        <v>6.8143100511073307E-3</v>
      </c>
      <c r="O21">
        <f>IF(AND(ISNUMBER('Total GW EIA'!O31),ISNUMBER('Total GW EIA'!O30),'Total GW EIA'!O30&gt;0),('Total GW EIA'!O31 - 'Total GW EIA'!O30)/'Total GW EIA'!$P31,0)</f>
        <v>0</v>
      </c>
      <c r="P21">
        <f>IF(AND(ISNUMBER('Total GW EIA'!P31),ISNUMBER('Total GW EIA'!P30),'Total GW EIA'!P30&gt;0),('Total GW EIA'!P31 - 'Total GW EIA'!P30)/'Total GW EIA'!$P31,0)</f>
        <v>4.7274275979557162E-2</v>
      </c>
    </row>
    <row r="22" spans="1:16" x14ac:dyDescent="0.85">
      <c r="A22" s="271">
        <v>1966</v>
      </c>
      <c r="B22">
        <f>IF(AND(ISNUMBER('Total GW EIA'!B32),ISNUMBER('Total GW EIA'!B31),'Total GW EIA'!B31&gt;0),('Total GW EIA'!B32 - 'Total GW EIA'!B31)/'Total GW EIA'!$P32,0)</f>
        <v>0</v>
      </c>
      <c r="C22">
        <f>IF(AND(ISNUMBER('Total GW EIA'!C32),ISNUMBER('Total GW EIA'!C31),'Total GW EIA'!C31&gt;0),('Total GW EIA'!C32 - 'Total GW EIA'!C31)/'Total GW EIA'!$P32,0)</f>
        <v>0</v>
      </c>
      <c r="D22">
        <f>IF(AND(ISNUMBER('Total GW EIA'!D32),ISNUMBER('Total GW EIA'!D31),'Total GW EIA'!D31&gt;0),('Total GW EIA'!D32 - 'Total GW EIA'!D31)/'Total GW EIA'!$P32,0)</f>
        <v>0</v>
      </c>
      <c r="E22">
        <f>IF(AND(ISNUMBER('Total GW EIA'!E32),ISNUMBER('Total GW EIA'!E31),'Total GW EIA'!E31&gt;0),('Total GW EIA'!E32 - 'Total GW EIA'!E31)/'Total GW EIA'!$P32,0)</f>
        <v>4.6896969696969694E-2</v>
      </c>
      <c r="F22">
        <f>IF(AND(ISNUMBER('Total GW EIA'!F32),ISNUMBER('Total GW EIA'!F31),'Total GW EIA'!F31&gt;0),('Total GW EIA'!F32 - 'Total GW EIA'!F31)/'Total GW EIA'!$P32,0)</f>
        <v>3.5797979797979797E-3</v>
      </c>
      <c r="G22">
        <f>IF(AND(ISNUMBER('Total GW EIA'!G32),ISNUMBER('Total GW EIA'!G31),'Total GW EIA'!G31&gt;0),('Total GW EIA'!G32 - 'Total GW EIA'!G31)/'Total GW EIA'!$P32,0)</f>
        <v>0</v>
      </c>
      <c r="H22">
        <f>IF(AND(ISNUMBER('Total GW EIA'!H32),ISNUMBER('Total GW EIA'!H31),'Total GW EIA'!H31&gt;0),('Total GW EIA'!H32 - 'Total GW EIA'!H31)/'Total GW EIA'!$P32,0)</f>
        <v>8.0808080808081957E-4</v>
      </c>
      <c r="I22">
        <f>IF(AND(ISNUMBER('Total GW EIA'!I32),ISNUMBER('Total GW EIA'!I31),'Total GW EIA'!I31&gt;0),('Total GW EIA'!I32 - 'Total GW EIA'!I31)/'Total GW EIA'!$P32,0)</f>
        <v>3.2323232323232296E-5</v>
      </c>
      <c r="J22">
        <f>IF(AND(ISNUMBER('Total GW EIA'!J32),ISNUMBER('Total GW EIA'!J31),'Total GW EIA'!J31&gt;0),('Total GW EIA'!J32 - 'Total GW EIA'!J31)/'Total GW EIA'!$P32,0)</f>
        <v>0</v>
      </c>
      <c r="K22">
        <f>IF(AND(ISNUMBER('Total GW EIA'!K32),ISNUMBER('Total GW EIA'!K31),'Total GW EIA'!K31&gt;0),('Total GW EIA'!K32 - 'Total GW EIA'!K31)/'Total GW EIA'!$P32,0)</f>
        <v>0</v>
      </c>
      <c r="L22">
        <f>IF(AND(ISNUMBER('Total GW EIA'!L32),ISNUMBER('Total GW EIA'!L31),'Total GW EIA'!L31&gt;0),('Total GW EIA'!L32 - 'Total GW EIA'!L31)/'Total GW EIA'!$P32,0)</f>
        <v>0</v>
      </c>
      <c r="M22">
        <f>IF(AND(ISNUMBER('Total GW EIA'!M32),ISNUMBER('Total GW EIA'!M31),'Total GW EIA'!M31&gt;0),('Total GW EIA'!M32 - 'Total GW EIA'!M31)/'Total GW EIA'!$P32,0)</f>
        <v>0</v>
      </c>
      <c r="N22">
        <f>IF(AND(ISNUMBER('Total GW EIA'!N32),ISNUMBER('Total GW EIA'!N31),'Total GW EIA'!N31&gt;0),('Total GW EIA'!N32 - 'Total GW EIA'!N31)/'Total GW EIA'!$P32,0)</f>
        <v>8.4040404040403396E-4</v>
      </c>
      <c r="O22">
        <f>IF(AND(ISNUMBER('Total GW EIA'!O32),ISNUMBER('Total GW EIA'!O31),'Total GW EIA'!O31&gt;0),('Total GW EIA'!O32 - 'Total GW EIA'!O31)/'Total GW EIA'!$P32,0)</f>
        <v>0</v>
      </c>
      <c r="P22">
        <f>IF(AND(ISNUMBER('Total GW EIA'!P32),ISNUMBER('Total GW EIA'!P31),'Total GW EIA'!P31&gt;0),('Total GW EIA'!P32 - 'Total GW EIA'!P31)/'Total GW EIA'!$P32,0)</f>
        <v>5.1313131313131269E-2</v>
      </c>
    </row>
    <row r="23" spans="1:16" x14ac:dyDescent="0.85">
      <c r="A23" s="271">
        <v>1967</v>
      </c>
      <c r="B23">
        <f>IF(AND(ISNUMBER('Total GW EIA'!B33),ISNUMBER('Total GW EIA'!B32),'Total GW EIA'!B32&gt;0),('Total GW EIA'!B33 - 'Total GW EIA'!B32)/'Total GW EIA'!$P33,0)</f>
        <v>0</v>
      </c>
      <c r="C23">
        <f>IF(AND(ISNUMBER('Total GW EIA'!C33),ISNUMBER('Total GW EIA'!C32),'Total GW EIA'!C32&gt;0),('Total GW EIA'!C33 - 'Total GW EIA'!C32)/'Total GW EIA'!$P33,0)</f>
        <v>0</v>
      </c>
      <c r="D23">
        <f>IF(AND(ISNUMBER('Total GW EIA'!D33),ISNUMBER('Total GW EIA'!D32),'Total GW EIA'!D32&gt;0),('Total GW EIA'!D33 - 'Total GW EIA'!D32)/'Total GW EIA'!$P33,0)</f>
        <v>0</v>
      </c>
      <c r="E23">
        <f>IF(AND(ISNUMBER('Total GW EIA'!E33),ISNUMBER('Total GW EIA'!E32),'Total GW EIA'!E32&gt;0),('Total GW EIA'!E33 - 'Total GW EIA'!E32)/'Total GW EIA'!$P33,0)</f>
        <v>5.3873265841769762E-2</v>
      </c>
      <c r="F23">
        <f>IF(AND(ISNUMBER('Total GW EIA'!F33),ISNUMBER('Total GW EIA'!F32),'Total GW EIA'!F32&gt;0),('Total GW EIA'!F33 - 'Total GW EIA'!F32)/'Total GW EIA'!$P33,0)</f>
        <v>3.7682789651293596E-3</v>
      </c>
      <c r="G23">
        <f>IF(AND(ISNUMBER('Total GW EIA'!G33),ISNUMBER('Total GW EIA'!G32),'Total GW EIA'!G32&gt;0),('Total GW EIA'!G33 - 'Total GW EIA'!G32)/'Total GW EIA'!$P33,0)</f>
        <v>0</v>
      </c>
      <c r="H23">
        <f>IF(AND(ISNUMBER('Total GW EIA'!H33),ISNUMBER('Total GW EIA'!H32),'Total GW EIA'!H32&gt;0),('Total GW EIA'!H33 - 'Total GW EIA'!H32)/'Total GW EIA'!$P33,0)</f>
        <v>1.4248218972628412E-2</v>
      </c>
      <c r="I23">
        <f>IF(AND(ISNUMBER('Total GW EIA'!I33),ISNUMBER('Total GW EIA'!I32),'Total GW EIA'!I32&gt;0),('Total GW EIA'!I33 - 'Total GW EIA'!I32)/'Total GW EIA'!$P33,0)</f>
        <v>0</v>
      </c>
      <c r="J23">
        <f>IF(AND(ISNUMBER('Total GW EIA'!J33),ISNUMBER('Total GW EIA'!J32),'Total GW EIA'!J32&gt;0),('Total GW EIA'!J33 - 'Total GW EIA'!J32)/'Total GW EIA'!$P33,0)</f>
        <v>0</v>
      </c>
      <c r="K23">
        <f>IF(AND(ISNUMBER('Total GW EIA'!K33),ISNUMBER('Total GW EIA'!K32),'Total GW EIA'!K32&gt;0),('Total GW EIA'!K33 - 'Total GW EIA'!K32)/'Total GW EIA'!$P33,0)</f>
        <v>1.0123734533183352E-4</v>
      </c>
      <c r="L23">
        <f>IF(AND(ISNUMBER('Total GW EIA'!L33),ISNUMBER('Total GW EIA'!L32),'Total GW EIA'!L32&gt;0),('Total GW EIA'!L33 - 'Total GW EIA'!L32)/'Total GW EIA'!$P33,0)</f>
        <v>0</v>
      </c>
      <c r="M23">
        <f>IF(AND(ISNUMBER('Total GW EIA'!M33),ISNUMBER('Total GW EIA'!M32),'Total GW EIA'!M32&gt;0),('Total GW EIA'!M33 - 'Total GW EIA'!M32)/'Total GW EIA'!$P33,0)</f>
        <v>0</v>
      </c>
      <c r="N23">
        <f>IF(AND(ISNUMBER('Total GW EIA'!N33),ISNUMBER('Total GW EIA'!N32),'Total GW EIA'!N32&gt;0),('Total GW EIA'!N33 - 'Total GW EIA'!N32)/'Total GW EIA'!$P33,0)</f>
        <v>1.4349456317960248E-2</v>
      </c>
      <c r="O23">
        <f>IF(AND(ISNUMBER('Total GW EIA'!O33),ISNUMBER('Total GW EIA'!O32),'Total GW EIA'!O32&gt;0),('Total GW EIA'!O33 - 'Total GW EIA'!O32)/'Total GW EIA'!$P33,0)</f>
        <v>0</v>
      </c>
      <c r="P23">
        <f>IF(AND(ISNUMBER('Total GW EIA'!P33),ISNUMBER('Total GW EIA'!P32),'Total GW EIA'!P32&gt;0),('Total GW EIA'!P33 - 'Total GW EIA'!P32)/'Total GW EIA'!$P33,0)</f>
        <v>7.1991001124859358E-2</v>
      </c>
    </row>
    <row r="24" spans="1:16" x14ac:dyDescent="0.85">
      <c r="A24" s="271">
        <v>1968</v>
      </c>
      <c r="B24">
        <f>IF(AND(ISNUMBER('Total GW EIA'!B34),ISNUMBER('Total GW EIA'!B33),'Total GW EIA'!B33&gt;0),('Total GW EIA'!B34 - 'Total GW EIA'!B33)/'Total GW EIA'!$P34,0)</f>
        <v>0</v>
      </c>
      <c r="C24">
        <f>IF(AND(ISNUMBER('Total GW EIA'!C34),ISNUMBER('Total GW EIA'!C33),'Total GW EIA'!C33&gt;0),('Total GW EIA'!C34 - 'Total GW EIA'!C33)/'Total GW EIA'!$P34,0)</f>
        <v>0</v>
      </c>
      <c r="D24">
        <f>IF(AND(ISNUMBER('Total GW EIA'!D34),ISNUMBER('Total GW EIA'!D33),'Total GW EIA'!D33&gt;0),('Total GW EIA'!D34 - 'Total GW EIA'!D33)/'Total GW EIA'!$P34,0)</f>
        <v>0</v>
      </c>
      <c r="E24">
        <f>IF(AND(ISNUMBER('Total GW EIA'!E34),ISNUMBER('Total GW EIA'!E33),'Total GW EIA'!E33&gt;0),('Total GW EIA'!E34 - 'Total GW EIA'!E33)/'Total GW EIA'!$P34,0)</f>
        <v>5.0454225352112705E-2</v>
      </c>
      <c r="F24">
        <f>IF(AND(ISNUMBER('Total GW EIA'!F34),ISNUMBER('Total GW EIA'!F33),'Total GW EIA'!F33&gt;0),('Total GW EIA'!F34 - 'Total GW EIA'!F33)/'Total GW EIA'!$P34,0)</f>
        <v>1.5492957746478887E-4</v>
      </c>
      <c r="G24">
        <f>IF(AND(ISNUMBER('Total GW EIA'!G34),ISNUMBER('Total GW EIA'!G33),'Total GW EIA'!G33&gt;0),('Total GW EIA'!G34 - 'Total GW EIA'!G33)/'Total GW EIA'!$P34,0)</f>
        <v>0</v>
      </c>
      <c r="H24">
        <f>IF(AND(ISNUMBER('Total GW EIA'!H34),ISNUMBER('Total GW EIA'!H33),'Total GW EIA'!H33&gt;0),('Total GW EIA'!H34 - 'Total GW EIA'!H33)/'Total GW EIA'!$P34,0)</f>
        <v>1.0211267605633798E-2</v>
      </c>
      <c r="I24">
        <f>IF(AND(ISNUMBER('Total GW EIA'!I34),ISNUMBER('Total GW EIA'!I33),'Total GW EIA'!I33&gt;0),('Total GW EIA'!I34 - 'Total GW EIA'!I33)/'Total GW EIA'!$P34,0)</f>
        <v>0</v>
      </c>
      <c r="J24">
        <f>IF(AND(ISNUMBER('Total GW EIA'!J34),ISNUMBER('Total GW EIA'!J33),'Total GW EIA'!J33&gt;0),('Total GW EIA'!J34 - 'Total GW EIA'!J33)/'Total GW EIA'!$P34,0)</f>
        <v>0</v>
      </c>
      <c r="K24">
        <f>IF(AND(ISNUMBER('Total GW EIA'!K34),ISNUMBER('Total GW EIA'!K33),'Total GW EIA'!K33&gt;0),('Total GW EIA'!K34 - 'Total GW EIA'!K33)/'Total GW EIA'!$P34,0)</f>
        <v>9.5070422535211284E-5</v>
      </c>
      <c r="L24">
        <f>IF(AND(ISNUMBER('Total GW EIA'!L34),ISNUMBER('Total GW EIA'!L33),'Total GW EIA'!L33&gt;0),('Total GW EIA'!L34 - 'Total GW EIA'!L33)/'Total GW EIA'!$P34,0)</f>
        <v>0</v>
      </c>
      <c r="M24">
        <f>IF(AND(ISNUMBER('Total GW EIA'!M34),ISNUMBER('Total GW EIA'!M33),'Total GW EIA'!M33&gt;0),('Total GW EIA'!M34 - 'Total GW EIA'!M33)/'Total GW EIA'!$P34,0)</f>
        <v>0</v>
      </c>
      <c r="N24">
        <f>IF(AND(ISNUMBER('Total GW EIA'!N34),ISNUMBER('Total GW EIA'!N33),'Total GW EIA'!N33&gt;0),('Total GW EIA'!N34 - 'Total GW EIA'!N33)/'Total GW EIA'!$P34,0)</f>
        <v>1.0306338028169012E-2</v>
      </c>
      <c r="O24">
        <f>IF(AND(ISNUMBER('Total GW EIA'!O34),ISNUMBER('Total GW EIA'!O33),'Total GW EIA'!O33&gt;0),('Total GW EIA'!O34 - 'Total GW EIA'!O33)/'Total GW EIA'!$P34,0)</f>
        <v>0</v>
      </c>
      <c r="P24">
        <f>IF(AND(ISNUMBER('Total GW EIA'!P34),ISNUMBER('Total GW EIA'!P33),'Total GW EIA'!P33&gt;0),('Total GW EIA'!P34 - 'Total GW EIA'!P33)/'Total GW EIA'!$P34,0)</f>
        <v>6.0915492957746516E-2</v>
      </c>
    </row>
    <row r="25" spans="1:16" x14ac:dyDescent="0.85">
      <c r="A25" s="271">
        <v>1969</v>
      </c>
      <c r="B25">
        <f>IF(AND(ISNUMBER('Total GW EIA'!B35),ISNUMBER('Total GW EIA'!B34),'Total GW EIA'!B34&gt;0),('Total GW EIA'!B35 - 'Total GW EIA'!B34)/'Total GW EIA'!$P35,0)</f>
        <v>0</v>
      </c>
      <c r="C25">
        <f>IF(AND(ISNUMBER('Total GW EIA'!C35),ISNUMBER('Total GW EIA'!C34),'Total GW EIA'!C34&gt;0),('Total GW EIA'!C35 - 'Total GW EIA'!C34)/'Total GW EIA'!$P35,0)</f>
        <v>0</v>
      </c>
      <c r="D25">
        <f>IF(AND(ISNUMBER('Total GW EIA'!D35),ISNUMBER('Total GW EIA'!D34),'Total GW EIA'!D34&gt;0),('Total GW EIA'!D35 - 'Total GW EIA'!D34)/'Total GW EIA'!$P35,0)</f>
        <v>0</v>
      </c>
      <c r="E25">
        <f>IF(AND(ISNUMBER('Total GW EIA'!E35),ISNUMBER('Total GW EIA'!E34),'Total GW EIA'!E34&gt;0),('Total GW EIA'!E35 - 'Total GW EIA'!E34)/'Total GW EIA'!$P35,0)</f>
        <v>6.5848934796642916E-2</v>
      </c>
      <c r="F25">
        <f>IF(AND(ISNUMBER('Total GW EIA'!F35),ISNUMBER('Total GW EIA'!F34),'Total GW EIA'!F34&gt;0),('Total GW EIA'!F35 - 'Total GW EIA'!F34)/'Total GW EIA'!$P35,0)</f>
        <v>5.4874112330535818E-3</v>
      </c>
      <c r="G25">
        <f>IF(AND(ISNUMBER('Total GW EIA'!G35),ISNUMBER('Total GW EIA'!G34),'Total GW EIA'!G34&gt;0),('Total GW EIA'!G35 - 'Total GW EIA'!G34)/'Total GW EIA'!$P35,0)</f>
        <v>0</v>
      </c>
      <c r="H25">
        <f>IF(AND(ISNUMBER('Total GW EIA'!H35),ISNUMBER('Total GW EIA'!H34),'Total GW EIA'!H34&gt;0),('Total GW EIA'!H35 - 'Total GW EIA'!H34)/'Total GW EIA'!$P35,0)</f>
        <v>1.1943189154293101E-2</v>
      </c>
      <c r="I25">
        <f>IF(AND(ISNUMBER('Total GW EIA'!I35),ISNUMBER('Total GW EIA'!I34),'Total GW EIA'!I34&gt;0),('Total GW EIA'!I35 - 'Total GW EIA'!I34)/'Total GW EIA'!$P35,0)</f>
        <v>0</v>
      </c>
      <c r="J25">
        <f>IF(AND(ISNUMBER('Total GW EIA'!J35),ISNUMBER('Total GW EIA'!J34),'Total GW EIA'!J34&gt;0),('Total GW EIA'!J35 - 'Total GW EIA'!J34)/'Total GW EIA'!$P35,0)</f>
        <v>0</v>
      </c>
      <c r="K25">
        <f>IF(AND(ISNUMBER('Total GW EIA'!K35),ISNUMBER('Total GW EIA'!K34),'Total GW EIA'!K34&gt;0),('Total GW EIA'!K35 - 'Total GW EIA'!K34)/'Total GW EIA'!$P35,0)</f>
        <v>0</v>
      </c>
      <c r="L25">
        <f>IF(AND(ISNUMBER('Total GW EIA'!L35),ISNUMBER('Total GW EIA'!L34),'Total GW EIA'!L34&gt;0),('Total GW EIA'!L35 - 'Total GW EIA'!L34)/'Total GW EIA'!$P35,0)</f>
        <v>0</v>
      </c>
      <c r="M25">
        <f>IF(AND(ISNUMBER('Total GW EIA'!M35),ISNUMBER('Total GW EIA'!M34),'Total GW EIA'!M34&gt;0),('Total GW EIA'!M35 - 'Total GW EIA'!M34)/'Total GW EIA'!$P35,0)</f>
        <v>0</v>
      </c>
      <c r="N25">
        <f>IF(AND(ISNUMBER('Total GW EIA'!N35),ISNUMBER('Total GW EIA'!N34),'Total GW EIA'!N34&gt;0),('Total GW EIA'!N35 - 'Total GW EIA'!N34)/'Total GW EIA'!$P35,0)</f>
        <v>1.1943189154293101E-2</v>
      </c>
      <c r="O25">
        <f>IF(AND(ISNUMBER('Total GW EIA'!O35),ISNUMBER('Total GW EIA'!O34),'Total GW EIA'!O34&gt;0),('Total GW EIA'!O35 - 'Total GW EIA'!O34)/'Total GW EIA'!$P35,0)</f>
        <v>0</v>
      </c>
      <c r="P25">
        <f>IF(AND(ISNUMBER('Total GW EIA'!P35),ISNUMBER('Total GW EIA'!P34),'Total GW EIA'!P34&gt;0),('Total GW EIA'!P35 - 'Total GW EIA'!P34)/'Total GW EIA'!$P35,0)</f>
        <v>8.32795351839897E-2</v>
      </c>
    </row>
    <row r="26" spans="1:16" x14ac:dyDescent="0.85">
      <c r="A26" s="271">
        <v>1970</v>
      </c>
      <c r="B26">
        <f>IF(AND(ISNUMBER('Total GW EIA'!B36),ISNUMBER('Total GW EIA'!B35),'Total GW EIA'!B35&gt;0),('Total GW EIA'!B36 - 'Total GW EIA'!B35)/'Total GW EIA'!$P36,0)</f>
        <v>0</v>
      </c>
      <c r="C26">
        <f>IF(AND(ISNUMBER('Total GW EIA'!C36),ISNUMBER('Total GW EIA'!C35),'Total GW EIA'!C35&gt;0),('Total GW EIA'!C36 - 'Total GW EIA'!C35)/'Total GW EIA'!$P36,0)</f>
        <v>0</v>
      </c>
      <c r="D26">
        <f>IF(AND(ISNUMBER('Total GW EIA'!D36),ISNUMBER('Total GW EIA'!D35),'Total GW EIA'!D35&gt;0),('Total GW EIA'!D36 - 'Total GW EIA'!D35)/'Total GW EIA'!$P36,0)</f>
        <v>0</v>
      </c>
      <c r="E26">
        <f>IF(AND(ISNUMBER('Total GW EIA'!E36),ISNUMBER('Total GW EIA'!E35),'Total GW EIA'!E35&gt;0),('Total GW EIA'!E36 - 'Total GW EIA'!E35)/'Total GW EIA'!$P36,0)</f>
        <v>6.4875148632580301E-2</v>
      </c>
      <c r="F26">
        <f>IF(AND(ISNUMBER('Total GW EIA'!F36),ISNUMBER('Total GW EIA'!F35),'Total GW EIA'!F35&gt;0),('Total GW EIA'!F36 - 'Total GW EIA'!F35)/'Total GW EIA'!$P36,0)</f>
        <v>7.657550535077288E-3</v>
      </c>
      <c r="G26">
        <f>IF(AND(ISNUMBER('Total GW EIA'!G36),ISNUMBER('Total GW EIA'!G35),'Total GW EIA'!G35&gt;0),('Total GW EIA'!G36 - 'Total GW EIA'!G35)/'Total GW EIA'!$P36,0)</f>
        <v>0</v>
      </c>
      <c r="H26">
        <f>IF(AND(ISNUMBER('Total GW EIA'!H36),ISNUMBER('Total GW EIA'!H35),'Total GW EIA'!H35&gt;0),('Total GW EIA'!H36 - 'Total GW EIA'!H35)/'Total GW EIA'!$P36,0)</f>
        <v>6.5398335315100947E-3</v>
      </c>
      <c r="I26">
        <f>IF(AND(ISNUMBER('Total GW EIA'!I36),ISNUMBER('Total GW EIA'!I35),'Total GW EIA'!I35&gt;0),('Total GW EIA'!I36 - 'Total GW EIA'!I35)/'Total GW EIA'!$P36,0)</f>
        <v>0</v>
      </c>
      <c r="J26">
        <f>IF(AND(ISNUMBER('Total GW EIA'!J36),ISNUMBER('Total GW EIA'!J35),'Total GW EIA'!J35&gt;0),('Total GW EIA'!J36 - 'Total GW EIA'!J35)/'Total GW EIA'!$P36,0)</f>
        <v>0</v>
      </c>
      <c r="K26">
        <f>IF(AND(ISNUMBER('Total GW EIA'!K36),ISNUMBER('Total GW EIA'!K35),'Total GW EIA'!K35&gt;0),('Total GW EIA'!K36 - 'Total GW EIA'!K35)/'Total GW EIA'!$P36,0)</f>
        <v>0</v>
      </c>
      <c r="L26">
        <f>IF(AND(ISNUMBER('Total GW EIA'!L36),ISNUMBER('Total GW EIA'!L35),'Total GW EIA'!L35&gt;0),('Total GW EIA'!L36 - 'Total GW EIA'!L35)/'Total GW EIA'!$P36,0)</f>
        <v>0</v>
      </c>
      <c r="M26">
        <f>IF(AND(ISNUMBER('Total GW EIA'!M36),ISNUMBER('Total GW EIA'!M35),'Total GW EIA'!M35&gt;0),('Total GW EIA'!M36 - 'Total GW EIA'!M35)/'Total GW EIA'!$P36,0)</f>
        <v>0</v>
      </c>
      <c r="N26">
        <f>IF(AND(ISNUMBER('Total GW EIA'!N36),ISNUMBER('Total GW EIA'!N35),'Total GW EIA'!N35&gt;0),('Total GW EIA'!N36 - 'Total GW EIA'!N35)/'Total GW EIA'!$P36,0)</f>
        <v>6.5398335315101155E-3</v>
      </c>
      <c r="O26">
        <f>IF(AND(ISNUMBER('Total GW EIA'!O36),ISNUMBER('Total GW EIA'!O35),'Total GW EIA'!O35&gt;0),('Total GW EIA'!O36 - 'Total GW EIA'!O35)/'Total GW EIA'!$P36,0)</f>
        <v>0</v>
      </c>
      <c r="P26">
        <f>IF(AND(ISNUMBER('Total GW EIA'!P36),ISNUMBER('Total GW EIA'!P35),'Total GW EIA'!P35&gt;0),('Total GW EIA'!P36 - 'Total GW EIA'!P35)/'Total GW EIA'!$P36,0)</f>
        <v>7.9072532699167558E-2</v>
      </c>
    </row>
    <row r="27" spans="1:16" x14ac:dyDescent="0.85">
      <c r="A27" s="271">
        <v>1971</v>
      </c>
      <c r="B27">
        <f>IF(AND(ISNUMBER('Total GW EIA'!B37),ISNUMBER('Total GW EIA'!B36),'Total GW EIA'!B36&gt;0),('Total GW EIA'!B37 - 'Total GW EIA'!B36)/'Total GW EIA'!$P37,0)</f>
        <v>0</v>
      </c>
      <c r="C27">
        <f>IF(AND(ISNUMBER('Total GW EIA'!C37),ISNUMBER('Total GW EIA'!C36),'Total GW EIA'!C36&gt;0),('Total GW EIA'!C37 - 'Total GW EIA'!C36)/'Total GW EIA'!$P37,0)</f>
        <v>0</v>
      </c>
      <c r="D27">
        <f>IF(AND(ISNUMBER('Total GW EIA'!D37),ISNUMBER('Total GW EIA'!D36),'Total GW EIA'!D36&gt;0),('Total GW EIA'!D37 - 'Total GW EIA'!D36)/'Total GW EIA'!$P37,0)</f>
        <v>0</v>
      </c>
      <c r="E27">
        <f>IF(AND(ISNUMBER('Total GW EIA'!E37),ISNUMBER('Total GW EIA'!E36),'Total GW EIA'!E36&gt;0),('Total GW EIA'!E37 - 'Total GW EIA'!E36)/'Total GW EIA'!$P37,0)</f>
        <v>6.1585698689956329E-2</v>
      </c>
      <c r="F27">
        <f>IF(AND(ISNUMBER('Total GW EIA'!F37),ISNUMBER('Total GW EIA'!F36),'Total GW EIA'!F36&gt;0),('Total GW EIA'!F37 - 'Total GW EIA'!F36)/'Total GW EIA'!$P37,0)</f>
        <v>5.5376637554585151E-3</v>
      </c>
      <c r="G27">
        <f>IF(AND(ISNUMBER('Total GW EIA'!G37),ISNUMBER('Total GW EIA'!G36),'Total GW EIA'!G36&gt;0),('Total GW EIA'!G37 - 'Total GW EIA'!G36)/'Total GW EIA'!$P37,0)</f>
        <v>0</v>
      </c>
      <c r="H27">
        <f>IF(AND(ISNUMBER('Total GW EIA'!H37),ISNUMBER('Total GW EIA'!H36),'Total GW EIA'!H36&gt;0),('Total GW EIA'!H37 - 'Total GW EIA'!H36)/'Total GW EIA'!$P37,0)</f>
        <v>1.44650655021834E-2</v>
      </c>
      <c r="I27">
        <f>IF(AND(ISNUMBER('Total GW EIA'!I37),ISNUMBER('Total GW EIA'!I36),'Total GW EIA'!I36&gt;0),('Total GW EIA'!I37 - 'Total GW EIA'!I36)/'Total GW EIA'!$P37,0)</f>
        <v>0</v>
      </c>
      <c r="J27">
        <f>IF(AND(ISNUMBER('Total GW EIA'!J37),ISNUMBER('Total GW EIA'!J36),'Total GW EIA'!J36&gt;0),('Total GW EIA'!J37 - 'Total GW EIA'!J36)/'Total GW EIA'!$P37,0)</f>
        <v>0</v>
      </c>
      <c r="K27">
        <f>IF(AND(ISNUMBER('Total GW EIA'!K37),ISNUMBER('Total GW EIA'!K36),'Total GW EIA'!K36&gt;0),('Total GW EIA'!K37 - 'Total GW EIA'!K36)/'Total GW EIA'!$P37,0)</f>
        <v>2.8930131004366815E-4</v>
      </c>
      <c r="L27">
        <f>IF(AND(ISNUMBER('Total GW EIA'!L37),ISNUMBER('Total GW EIA'!L36),'Total GW EIA'!L36&gt;0),('Total GW EIA'!L37 - 'Total GW EIA'!L36)/'Total GW EIA'!$P37,0)</f>
        <v>0</v>
      </c>
      <c r="M27">
        <f>IF(AND(ISNUMBER('Total GW EIA'!M37),ISNUMBER('Total GW EIA'!M36),'Total GW EIA'!M36&gt;0),('Total GW EIA'!M37 - 'Total GW EIA'!M36)/'Total GW EIA'!$P37,0)</f>
        <v>0</v>
      </c>
      <c r="N27">
        <f>IF(AND(ISNUMBER('Total GW EIA'!N37),ISNUMBER('Total GW EIA'!N36),'Total GW EIA'!N36&gt;0),('Total GW EIA'!N37 - 'Total GW EIA'!N36)/'Total GW EIA'!$P37,0)</f>
        <v>1.4754366812227053E-2</v>
      </c>
      <c r="O27">
        <f>IF(AND(ISNUMBER('Total GW EIA'!O37),ISNUMBER('Total GW EIA'!O36),'Total GW EIA'!O36&gt;0),('Total GW EIA'!O37 - 'Total GW EIA'!O36)/'Total GW EIA'!$P37,0)</f>
        <v>0</v>
      </c>
      <c r="P27">
        <f>IF(AND(ISNUMBER('Total GW EIA'!P37),ISNUMBER('Total GW EIA'!P36),'Total GW EIA'!P36&gt;0),('Total GW EIA'!P37 - 'Total GW EIA'!P36)/'Total GW EIA'!$P37,0)</f>
        <v>8.1877729257641932E-2</v>
      </c>
    </row>
    <row r="28" spans="1:16" x14ac:dyDescent="0.85">
      <c r="A28" s="271">
        <v>1972</v>
      </c>
      <c r="B28">
        <f>IF(AND(ISNUMBER('Total GW EIA'!B38),ISNUMBER('Total GW EIA'!B37),'Total GW EIA'!B37&gt;0),('Total GW EIA'!B38 - 'Total GW EIA'!B37)/'Total GW EIA'!$P38,0)</f>
        <v>0</v>
      </c>
      <c r="C28">
        <f>IF(AND(ISNUMBER('Total GW EIA'!C38),ISNUMBER('Total GW EIA'!C37),'Total GW EIA'!C37&gt;0),('Total GW EIA'!C38 - 'Total GW EIA'!C37)/'Total GW EIA'!$P38,0)</f>
        <v>0</v>
      </c>
      <c r="D28">
        <f>IF(AND(ISNUMBER('Total GW EIA'!D38),ISNUMBER('Total GW EIA'!D37),'Total GW EIA'!D37&gt;0),('Total GW EIA'!D38 - 'Total GW EIA'!D37)/'Total GW EIA'!$P38,0)</f>
        <v>0</v>
      </c>
      <c r="E28">
        <f>IF(AND(ISNUMBER('Total GW EIA'!E38),ISNUMBER('Total GW EIA'!E37),'Total GW EIA'!E37&gt;0),('Total GW EIA'!E38 - 'Total GW EIA'!E37)/'Total GW EIA'!$P38,0)</f>
        <v>5.7174242424242475E-2</v>
      </c>
      <c r="F28">
        <f>IF(AND(ISNUMBER('Total GW EIA'!F38),ISNUMBER('Total GW EIA'!F37),'Total GW EIA'!F37&gt;0),('Total GW EIA'!F38 - 'Total GW EIA'!F37)/'Total GW EIA'!$P38,0)</f>
        <v>1.3757575757575758E-2</v>
      </c>
      <c r="G28">
        <f>IF(AND(ISNUMBER('Total GW EIA'!G38),ISNUMBER('Total GW EIA'!G37),'Total GW EIA'!G37&gt;0),('Total GW EIA'!G38 - 'Total GW EIA'!G37)/'Total GW EIA'!$P38,0)</f>
        <v>0</v>
      </c>
      <c r="H28">
        <f>IF(AND(ISNUMBER('Total GW EIA'!H38),ISNUMBER('Total GW EIA'!H37),'Total GW EIA'!H37&gt;0),('Total GW EIA'!H38 - 'Total GW EIA'!H37)/'Total GW EIA'!$P38,0)</f>
        <v>3.5353535353535499E-3</v>
      </c>
      <c r="I28">
        <f>IF(AND(ISNUMBER('Total GW EIA'!I38),ISNUMBER('Total GW EIA'!I37),'Total GW EIA'!I37&gt;0),('Total GW EIA'!I38 - 'Total GW EIA'!I37)/'Total GW EIA'!$P38,0)</f>
        <v>1.2626262626262638E-5</v>
      </c>
      <c r="J28">
        <f>IF(AND(ISNUMBER('Total GW EIA'!J38),ISNUMBER('Total GW EIA'!J37),'Total GW EIA'!J37&gt;0),('Total GW EIA'!J38 - 'Total GW EIA'!J37)/'Total GW EIA'!$P38,0)</f>
        <v>0</v>
      </c>
      <c r="K28">
        <f>IF(AND(ISNUMBER('Total GW EIA'!K38),ISNUMBER('Total GW EIA'!K37),'Total GW EIA'!K37&gt;0),('Total GW EIA'!K38 - 'Total GW EIA'!K37)/'Total GW EIA'!$P38,0)</f>
        <v>2.6767676767676764E-4</v>
      </c>
      <c r="L28">
        <f>IF(AND(ISNUMBER('Total GW EIA'!L38),ISNUMBER('Total GW EIA'!L37),'Total GW EIA'!L37&gt;0),('Total GW EIA'!L38 - 'Total GW EIA'!L37)/'Total GW EIA'!$P38,0)</f>
        <v>0</v>
      </c>
      <c r="M28">
        <f>IF(AND(ISNUMBER('Total GW EIA'!M38),ISNUMBER('Total GW EIA'!M37),'Total GW EIA'!M37&gt;0),('Total GW EIA'!M38 - 'Total GW EIA'!M37)/'Total GW EIA'!$P38,0)</f>
        <v>0</v>
      </c>
      <c r="N28">
        <f>IF(AND(ISNUMBER('Total GW EIA'!N38),ISNUMBER('Total GW EIA'!N37),'Total GW EIA'!N37&gt;0),('Total GW EIA'!N38 - 'Total GW EIA'!N37)/'Total GW EIA'!$P38,0)</f>
        <v>3.8156565656565907E-3</v>
      </c>
      <c r="O28">
        <f>IF(AND(ISNUMBER('Total GW EIA'!O38),ISNUMBER('Total GW EIA'!O37),'Total GW EIA'!O37&gt;0),('Total GW EIA'!O38 - 'Total GW EIA'!O37)/'Total GW EIA'!$P38,0)</f>
        <v>0</v>
      </c>
      <c r="P28">
        <f>IF(AND(ISNUMBER('Total GW EIA'!P38),ISNUMBER('Total GW EIA'!P37),'Total GW EIA'!P37&gt;0),('Total GW EIA'!P38 - 'Total GW EIA'!P37)/'Total GW EIA'!$P38,0)</f>
        <v>7.4747474747474799E-2</v>
      </c>
    </row>
    <row r="29" spans="1:16" x14ac:dyDescent="0.85">
      <c r="A29" s="271">
        <v>1973</v>
      </c>
      <c r="B29">
        <f>IF(AND(ISNUMBER('Total GW EIA'!B39),ISNUMBER('Total GW EIA'!B38),'Total GW EIA'!B38&gt;0),('Total GW EIA'!B39 - 'Total GW EIA'!B38)/'Total GW EIA'!$P39,0)</f>
        <v>0</v>
      </c>
      <c r="C29">
        <f>IF(AND(ISNUMBER('Total GW EIA'!C39),ISNUMBER('Total GW EIA'!C38),'Total GW EIA'!C38&gt;0),('Total GW EIA'!C39 - 'Total GW EIA'!C38)/'Total GW EIA'!$P39,0)</f>
        <v>0</v>
      </c>
      <c r="D29">
        <f>IF(AND(ISNUMBER('Total GW EIA'!D39),ISNUMBER('Total GW EIA'!D38),'Total GW EIA'!D38&gt;0),('Total GW EIA'!D39 - 'Total GW EIA'!D38)/'Total GW EIA'!$P39,0)</f>
        <v>0</v>
      </c>
      <c r="E29">
        <f>IF(AND(ISNUMBER('Total GW EIA'!E39),ISNUMBER('Total GW EIA'!E38),'Total GW EIA'!E38&gt;0),('Total GW EIA'!E39 - 'Total GW EIA'!E38)/'Total GW EIA'!$P39,0)</f>
        <v>6.9558890404729387E-2</v>
      </c>
      <c r="F29">
        <f>IF(AND(ISNUMBER('Total GW EIA'!F39),ISNUMBER('Total GW EIA'!F38),'Total GW EIA'!F38&gt;0),('Total GW EIA'!F39 - 'Total GW EIA'!F38)/'Total GW EIA'!$P39,0)</f>
        <v>1.8649386084583903E-2</v>
      </c>
      <c r="G29">
        <f>IF(AND(ISNUMBER('Total GW EIA'!G39),ISNUMBER('Total GW EIA'!G38),'Total GW EIA'!G38&gt;0),('Total GW EIA'!G39 - 'Total GW EIA'!G38)/'Total GW EIA'!$P39,0)</f>
        <v>0</v>
      </c>
      <c r="H29">
        <f>IF(AND(ISNUMBER('Total GW EIA'!H39),ISNUMBER('Total GW EIA'!H38),'Total GW EIA'!H38&gt;0),('Total GW EIA'!H39 - 'Total GW EIA'!H38)/'Total GW EIA'!$P39,0)</f>
        <v>1.114142792178264E-2</v>
      </c>
      <c r="I29">
        <f>IF(AND(ISNUMBER('Total GW EIA'!I39),ISNUMBER('Total GW EIA'!I38),'Total GW EIA'!I38&gt;0),('Total GW EIA'!I39 - 'Total GW EIA'!I38)/'Total GW EIA'!$P39,0)</f>
        <v>0</v>
      </c>
      <c r="J29">
        <f>IF(AND(ISNUMBER('Total GW EIA'!J39),ISNUMBER('Total GW EIA'!J38),'Total GW EIA'!J38&gt;0),('Total GW EIA'!J39 - 'Total GW EIA'!J38)/'Total GW EIA'!$P39,0)</f>
        <v>0</v>
      </c>
      <c r="K29">
        <f>IF(AND(ISNUMBER('Total GW EIA'!K39),ISNUMBER('Total GW EIA'!K38),'Total GW EIA'!K38&gt;0),('Total GW EIA'!K39 - 'Total GW EIA'!K38)/'Total GW EIA'!$P39,0)</f>
        <v>2.4101864483856307E-4</v>
      </c>
      <c r="L29">
        <f>IF(AND(ISNUMBER('Total GW EIA'!L39),ISNUMBER('Total GW EIA'!L38),'Total GW EIA'!L38&gt;0),('Total GW EIA'!L39 - 'Total GW EIA'!L38)/'Total GW EIA'!$P39,0)</f>
        <v>0</v>
      </c>
      <c r="M29">
        <f>IF(AND(ISNUMBER('Total GW EIA'!M39),ISNUMBER('Total GW EIA'!M38),'Total GW EIA'!M38&gt;0),('Total GW EIA'!M39 - 'Total GW EIA'!M38)/'Total GW EIA'!$P39,0)</f>
        <v>0</v>
      </c>
      <c r="N29">
        <f>IF(AND(ISNUMBER('Total GW EIA'!N39),ISNUMBER('Total GW EIA'!N38),'Total GW EIA'!N38&gt;0),('Total GW EIA'!N39 - 'Total GW EIA'!N38)/'Total GW EIA'!$P39,0)</f>
        <v>1.1382446566621192E-2</v>
      </c>
      <c r="O29">
        <f>IF(AND(ISNUMBER('Total GW EIA'!O39),ISNUMBER('Total GW EIA'!O38),'Total GW EIA'!O38&gt;0),('Total GW EIA'!O39 - 'Total GW EIA'!O38)/'Total GW EIA'!$P39,0)</f>
        <v>0</v>
      </c>
      <c r="P29">
        <f>IF(AND(ISNUMBER('Total GW EIA'!P39),ISNUMBER('Total GW EIA'!P38),'Total GW EIA'!P38&gt;0),('Total GW EIA'!P39 - 'Total GW EIA'!P38)/'Total GW EIA'!$P39,0)</f>
        <v>9.9590723055934541E-2</v>
      </c>
    </row>
    <row r="30" spans="1:16" x14ac:dyDescent="0.85">
      <c r="A30" s="271">
        <v>1974</v>
      </c>
      <c r="B30">
        <f>IF(AND(ISNUMBER('Total GW EIA'!B40),ISNUMBER('Total GW EIA'!B39),'Total GW EIA'!B39&gt;0),('Total GW EIA'!B40 - 'Total GW EIA'!B39)/'Total GW EIA'!$P40,0)</f>
        <v>0</v>
      </c>
      <c r="C30">
        <f>IF(AND(ISNUMBER('Total GW EIA'!C40),ISNUMBER('Total GW EIA'!C39),'Total GW EIA'!C39&gt;0),('Total GW EIA'!C40 - 'Total GW EIA'!C39)/'Total GW EIA'!$P40,0)</f>
        <v>0</v>
      </c>
      <c r="D30">
        <f>IF(AND(ISNUMBER('Total GW EIA'!D40),ISNUMBER('Total GW EIA'!D39),'Total GW EIA'!D39&gt;0),('Total GW EIA'!D40 - 'Total GW EIA'!D39)/'Total GW EIA'!$P40,0)</f>
        <v>0</v>
      </c>
      <c r="E30">
        <f>IF(AND(ISNUMBER('Total GW EIA'!E40),ISNUMBER('Total GW EIA'!E39),'Total GW EIA'!E39&gt;0),('Total GW EIA'!E40 - 'Total GW EIA'!E39)/'Total GW EIA'!$P40,0)</f>
        <v>4.1442902881536813E-2</v>
      </c>
      <c r="F30">
        <f>IF(AND(ISNUMBER('Total GW EIA'!F40),ISNUMBER('Total GW EIA'!F39),'Total GW EIA'!F39&gt;0),('Total GW EIA'!F40 - 'Total GW EIA'!F39)/'Total GW EIA'!$P40,0)</f>
        <v>1.9602988260405553E-2</v>
      </c>
      <c r="G30">
        <f>IF(AND(ISNUMBER('Total GW EIA'!G40),ISNUMBER('Total GW EIA'!G39),'Total GW EIA'!G39&gt;0),('Total GW EIA'!G40 - 'Total GW EIA'!G39)/'Total GW EIA'!$P40,0)</f>
        <v>0</v>
      </c>
      <c r="H30">
        <f>IF(AND(ISNUMBER('Total GW EIA'!H40),ISNUMBER('Total GW EIA'!H39),'Total GW EIA'!H39&gt;0),('Total GW EIA'!H40 - 'Total GW EIA'!H39)/'Total GW EIA'!$P40,0)</f>
        <v>2.1344717182496118E-4</v>
      </c>
      <c r="I30">
        <f>IF(AND(ISNUMBER('Total GW EIA'!I40),ISNUMBER('Total GW EIA'!I39),'Total GW EIA'!I39&gt;0),('Total GW EIA'!I40 - 'Total GW EIA'!I39)/'Total GW EIA'!$P40,0)</f>
        <v>0</v>
      </c>
      <c r="J30">
        <f>IF(AND(ISNUMBER('Total GW EIA'!J40),ISNUMBER('Total GW EIA'!J39),'Total GW EIA'!J39&gt;0),('Total GW EIA'!J40 - 'Total GW EIA'!J39)/'Total GW EIA'!$P40,0)</f>
        <v>0</v>
      </c>
      <c r="K30">
        <f>IF(AND(ISNUMBER('Total GW EIA'!K40),ISNUMBER('Total GW EIA'!K39),'Total GW EIA'!K39&gt;0),('Total GW EIA'!K40 - 'Total GW EIA'!K39)/'Total GW EIA'!$P40,0)</f>
        <v>0</v>
      </c>
      <c r="L30">
        <f>IF(AND(ISNUMBER('Total GW EIA'!L40),ISNUMBER('Total GW EIA'!L39),'Total GW EIA'!L39&gt;0),('Total GW EIA'!L40 - 'Total GW EIA'!L39)/'Total GW EIA'!$P40,0)</f>
        <v>0</v>
      </c>
      <c r="M30">
        <f>IF(AND(ISNUMBER('Total GW EIA'!M40),ISNUMBER('Total GW EIA'!M39),'Total GW EIA'!M39&gt;0),('Total GW EIA'!M40 - 'Total GW EIA'!M39)/'Total GW EIA'!$P40,0)</f>
        <v>0</v>
      </c>
      <c r="N30">
        <f>IF(AND(ISNUMBER('Total GW EIA'!N40),ISNUMBER('Total GW EIA'!N39),'Total GW EIA'!N39&gt;0),('Total GW EIA'!N40 - 'Total GW EIA'!N39)/'Total GW EIA'!$P40,0)</f>
        <v>2.1344717182496118E-4</v>
      </c>
      <c r="O30">
        <f>IF(AND(ISNUMBER('Total GW EIA'!O40),ISNUMBER('Total GW EIA'!O39),'Total GW EIA'!O39&gt;0),('Total GW EIA'!O40 - 'Total GW EIA'!O39)/'Total GW EIA'!$P40,0)</f>
        <v>0</v>
      </c>
      <c r="P30">
        <f>IF(AND(ISNUMBER('Total GW EIA'!P40),ISNUMBER('Total GW EIA'!P39),'Total GW EIA'!P39&gt;0),('Total GW EIA'!P40 - 'Total GW EIA'!P39)/'Total GW EIA'!$P40,0)</f>
        <v>6.1259338313767321E-2</v>
      </c>
    </row>
    <row r="31" spans="1:16" x14ac:dyDescent="0.85">
      <c r="A31" s="271">
        <v>1975</v>
      </c>
      <c r="B31">
        <f>IF(AND(ISNUMBER('Total GW EIA'!B41),ISNUMBER('Total GW EIA'!B40),'Total GW EIA'!B40&gt;0),('Total GW EIA'!B41 - 'Total GW EIA'!B40)/'Total GW EIA'!$P41,0)</f>
        <v>0</v>
      </c>
      <c r="C31">
        <f>IF(AND(ISNUMBER('Total GW EIA'!C41),ISNUMBER('Total GW EIA'!C40),'Total GW EIA'!C40&gt;0),('Total GW EIA'!C41 - 'Total GW EIA'!C40)/'Total GW EIA'!$P41,0)</f>
        <v>0</v>
      </c>
      <c r="D31">
        <f>IF(AND(ISNUMBER('Total GW EIA'!D41),ISNUMBER('Total GW EIA'!D40),'Total GW EIA'!D40&gt;0),('Total GW EIA'!D41 - 'Total GW EIA'!D40)/'Total GW EIA'!$P41,0)</f>
        <v>0</v>
      </c>
      <c r="E31">
        <f>IF(AND(ISNUMBER('Total GW EIA'!E41),ISNUMBER('Total GW EIA'!E40),'Total GW EIA'!E40&gt;0),('Total GW EIA'!E41 - 'Total GW EIA'!E40)/'Total GW EIA'!$P41,0)</f>
        <v>2.9297781396295554E-2</v>
      </c>
      <c r="F31">
        <f>IF(AND(ISNUMBER('Total GW EIA'!F41),ISNUMBER('Total GW EIA'!F40),'Total GW EIA'!F40&gt;0),('Total GW EIA'!F41 - 'Total GW EIA'!F40)/'Total GW EIA'!$P41,0)</f>
        <v>1.0991247710156731E-2</v>
      </c>
      <c r="G31">
        <f>IF(AND(ISNUMBER('Total GW EIA'!G41),ISNUMBER('Total GW EIA'!G40),'Total GW EIA'!G40&gt;0),('Total GW EIA'!G41 - 'Total GW EIA'!G40)/'Total GW EIA'!$P41,0)</f>
        <v>0</v>
      </c>
      <c r="H31">
        <f>IF(AND(ISNUMBER('Total GW EIA'!H41),ISNUMBER('Total GW EIA'!H40),'Total GW EIA'!H40&gt;0),('Total GW EIA'!H41 - 'Total GW EIA'!H40)/'Total GW EIA'!$P41,0)</f>
        <v>5.9027071036026986E-3</v>
      </c>
      <c r="I31">
        <f>IF(AND(ISNUMBER('Total GW EIA'!I41),ISNUMBER('Total GW EIA'!I40),'Total GW EIA'!I40&gt;0),('Total GW EIA'!I41 - 'Total GW EIA'!I40)/'Total GW EIA'!$P41,0)</f>
        <v>0</v>
      </c>
      <c r="J31">
        <f>IF(AND(ISNUMBER('Total GW EIA'!J41),ISNUMBER('Total GW EIA'!J40),'Total GW EIA'!J40&gt;0),('Total GW EIA'!J41 - 'Total GW EIA'!J40)/'Total GW EIA'!$P41,0)</f>
        <v>0</v>
      </c>
      <c r="K31">
        <f>IF(AND(ISNUMBER('Total GW EIA'!K41),ISNUMBER('Total GW EIA'!K40),'Total GW EIA'!K40&gt;0),('Total GW EIA'!K41 - 'Total GW EIA'!K40)/'Total GW EIA'!$P41,0)</f>
        <v>2.1575412171789127E-4</v>
      </c>
      <c r="L31">
        <f>IF(AND(ISNUMBER('Total GW EIA'!L41),ISNUMBER('Total GW EIA'!L40),'Total GW EIA'!L40&gt;0),('Total GW EIA'!L41 - 'Total GW EIA'!L40)/'Total GW EIA'!$P41,0)</f>
        <v>0</v>
      </c>
      <c r="M31">
        <f>IF(AND(ISNUMBER('Total GW EIA'!M41),ISNUMBER('Total GW EIA'!M40),'Total GW EIA'!M40&gt;0),('Total GW EIA'!M41 - 'Total GW EIA'!M40)/'Total GW EIA'!$P41,0)</f>
        <v>0</v>
      </c>
      <c r="N31">
        <f>IF(AND(ISNUMBER('Total GW EIA'!N41),ISNUMBER('Total GW EIA'!N40),'Total GW EIA'!N40&gt;0),('Total GW EIA'!N41 - 'Total GW EIA'!N40)/'Total GW EIA'!$P41,0)</f>
        <v>6.1184612253205786E-3</v>
      </c>
      <c r="O31">
        <f>IF(AND(ISNUMBER('Total GW EIA'!O41),ISNUMBER('Total GW EIA'!O40),'Total GW EIA'!O40&gt;0),('Total GW EIA'!O41 - 'Total GW EIA'!O40)/'Total GW EIA'!$P41,0)</f>
        <v>0</v>
      </c>
      <c r="P31">
        <f>IF(AND(ISNUMBER('Total GW EIA'!P41),ISNUMBER('Total GW EIA'!P40),'Total GW EIA'!P40&gt;0),('Total GW EIA'!P41 - 'Total GW EIA'!P40)/'Total GW EIA'!$P41,0)</f>
        <v>4.6407490331772869E-2</v>
      </c>
    </row>
    <row r="32" spans="1:16" x14ac:dyDescent="0.85">
      <c r="A32" s="271">
        <v>1976</v>
      </c>
      <c r="B32">
        <f>IF(AND(ISNUMBER('Total GW EIA'!B42),ISNUMBER('Total GW EIA'!B41),'Total GW EIA'!B41&gt;0),('Total GW EIA'!B42 - 'Total GW EIA'!B41)/'Total GW EIA'!$P42,0)</f>
        <v>0</v>
      </c>
      <c r="C32">
        <f>IF(AND(ISNUMBER('Total GW EIA'!C42),ISNUMBER('Total GW EIA'!C41),'Total GW EIA'!C41&gt;0),('Total GW EIA'!C42 - 'Total GW EIA'!C41)/'Total GW EIA'!$P42,0)</f>
        <v>0</v>
      </c>
      <c r="D32">
        <f>IF(AND(ISNUMBER('Total GW EIA'!D42),ISNUMBER('Total GW EIA'!D41),'Total GW EIA'!D41&gt;0),('Total GW EIA'!D42 - 'Total GW EIA'!D41)/'Total GW EIA'!$P42,0)</f>
        <v>0</v>
      </c>
      <c r="E32">
        <f>IF(AND(ISNUMBER('Total GW EIA'!E42),ISNUMBER('Total GW EIA'!E41),'Total GW EIA'!E41&gt;0),('Total GW EIA'!E42 - 'Total GW EIA'!E41)/'Total GW EIA'!$P42,0)</f>
        <v>3.8176720804331016E-2</v>
      </c>
      <c r="F32">
        <f>IF(AND(ISNUMBER('Total GW EIA'!F42),ISNUMBER('Total GW EIA'!F41),'Total GW EIA'!F41&gt;0),('Total GW EIA'!F42 - 'Total GW EIA'!F41)/'Total GW EIA'!$P42,0)</f>
        <v>1.2674013921113687E-2</v>
      </c>
      <c r="G32">
        <f>IF(AND(ISNUMBER('Total GW EIA'!G42),ISNUMBER('Total GW EIA'!G41),'Total GW EIA'!G41&gt;0),('Total GW EIA'!G42 - 'Total GW EIA'!G41)/'Total GW EIA'!$P42,0)</f>
        <v>0</v>
      </c>
      <c r="H32">
        <f>IF(AND(ISNUMBER('Total GW EIA'!H42),ISNUMBER('Total GW EIA'!H41),'Total GW EIA'!H41&gt;0),('Total GW EIA'!H42 - 'Total GW EIA'!H41)/'Total GW EIA'!$P42,0)</f>
        <v>-7.7339520494974019E-4</v>
      </c>
      <c r="I32">
        <f>IF(AND(ISNUMBER('Total GW EIA'!I42),ISNUMBER('Total GW EIA'!I41),'Total GW EIA'!I41&gt;0),('Total GW EIA'!I42 - 'Total GW EIA'!I41)/'Total GW EIA'!$P42,0)</f>
        <v>0</v>
      </c>
      <c r="J32">
        <f>IF(AND(ISNUMBER('Total GW EIA'!J42),ISNUMBER('Total GW EIA'!J41),'Total GW EIA'!J41&gt;0),('Total GW EIA'!J42 - 'Total GW EIA'!J41)/'Total GW EIA'!$P42,0)</f>
        <v>0</v>
      </c>
      <c r="K32">
        <f>IF(AND(ISNUMBER('Total GW EIA'!K42),ISNUMBER('Total GW EIA'!K41),'Total GW EIA'!K41&gt;0),('Total GW EIA'!K42 - 'Total GW EIA'!K41)/'Total GW EIA'!$P42,0)</f>
        <v>0</v>
      </c>
      <c r="L32">
        <f>IF(AND(ISNUMBER('Total GW EIA'!L42),ISNUMBER('Total GW EIA'!L41),'Total GW EIA'!L41&gt;0),('Total GW EIA'!L42 - 'Total GW EIA'!L41)/'Total GW EIA'!$P42,0)</f>
        <v>0</v>
      </c>
      <c r="M32">
        <f>IF(AND(ISNUMBER('Total GW EIA'!M42),ISNUMBER('Total GW EIA'!M41),'Total GW EIA'!M41&gt;0),('Total GW EIA'!M42 - 'Total GW EIA'!M41)/'Total GW EIA'!$P42,0)</f>
        <v>0</v>
      </c>
      <c r="N32">
        <f>IF(AND(ISNUMBER('Total GW EIA'!N42),ISNUMBER('Total GW EIA'!N41),'Total GW EIA'!N41&gt;0),('Total GW EIA'!N42 - 'Total GW EIA'!N41)/'Total GW EIA'!$P42,0)</f>
        <v>-7.7339520494974019E-4</v>
      </c>
      <c r="O32">
        <f>IF(AND(ISNUMBER('Total GW EIA'!O42),ISNUMBER('Total GW EIA'!O41),'Total GW EIA'!O41&gt;0),('Total GW EIA'!O42 - 'Total GW EIA'!O41)/'Total GW EIA'!$P42,0)</f>
        <v>0</v>
      </c>
      <c r="P32">
        <f>IF(AND(ISNUMBER('Total GW EIA'!P42),ISNUMBER('Total GW EIA'!P41),'Total GW EIA'!P41&gt;0),('Total GW EIA'!P42 - 'Total GW EIA'!P41)/'Total GW EIA'!$P42,0)</f>
        <v>5.0077339520495034E-2</v>
      </c>
    </row>
    <row r="33" spans="1:16" x14ac:dyDescent="0.85">
      <c r="A33" s="271">
        <v>1977</v>
      </c>
      <c r="B33">
        <f>IF(AND(ISNUMBER('Total GW EIA'!B43),ISNUMBER('Total GW EIA'!B42),'Total GW EIA'!B42&gt;0),('Total GW EIA'!B43 - 'Total GW EIA'!B42)/'Total GW EIA'!$P43,0)</f>
        <v>0</v>
      </c>
      <c r="C33">
        <f>IF(AND(ISNUMBER('Total GW EIA'!C43),ISNUMBER('Total GW EIA'!C42),'Total GW EIA'!C42&gt;0),('Total GW EIA'!C43 - 'Total GW EIA'!C42)/'Total GW EIA'!$P43,0)</f>
        <v>0</v>
      </c>
      <c r="D33">
        <f>IF(AND(ISNUMBER('Total GW EIA'!D43),ISNUMBER('Total GW EIA'!D42),'Total GW EIA'!D42&gt;0),('Total GW EIA'!D43 - 'Total GW EIA'!D42)/'Total GW EIA'!$P43,0)</f>
        <v>0</v>
      </c>
      <c r="E33">
        <f>IF(AND(ISNUMBER('Total GW EIA'!E43),ISNUMBER('Total GW EIA'!E42),'Total GW EIA'!E42&gt;0),('Total GW EIA'!E43 - 'Total GW EIA'!E42)/'Total GW EIA'!$P43,0)</f>
        <v>2.914536294084712E-2</v>
      </c>
      <c r="F33">
        <f>IF(AND(ISNUMBER('Total GW EIA'!F43),ISNUMBER('Total GW EIA'!F42),'Total GW EIA'!F42&gt;0),('Total GW EIA'!F43 - 'Total GW EIA'!F42)/'Total GW EIA'!$P43,0)</f>
        <v>4.629595073707771E-3</v>
      </c>
      <c r="G33">
        <f>IF(AND(ISNUMBER('Total GW EIA'!G43),ISNUMBER('Total GW EIA'!G42),'Total GW EIA'!G42&gt;0),('Total GW EIA'!G43 - 'Total GW EIA'!G42)/'Total GW EIA'!$P43,0)</f>
        <v>0</v>
      </c>
      <c r="H33">
        <f>IF(AND(ISNUMBER('Total GW EIA'!H43),ISNUMBER('Total GW EIA'!H42),'Total GW EIA'!H42&gt;0),('Total GW EIA'!H43 - 'Total GW EIA'!H42)/'Total GW EIA'!$P43,0)</f>
        <v>1.119611867885789E-3</v>
      </c>
      <c r="I33">
        <f>IF(AND(ISNUMBER('Total GW EIA'!I43),ISNUMBER('Total GW EIA'!I42),'Total GW EIA'!I42&gt;0),('Total GW EIA'!I43 - 'Total GW EIA'!I42)/'Total GW EIA'!$P43,0)</f>
        <v>0</v>
      </c>
      <c r="J33">
        <f>IF(AND(ISNUMBER('Total GW EIA'!J43),ISNUMBER('Total GW EIA'!J42),'Total GW EIA'!J42&gt;0),('Total GW EIA'!J43 - 'Total GW EIA'!J42)/'Total GW EIA'!$P43,0)</f>
        <v>0</v>
      </c>
      <c r="K33">
        <f>IF(AND(ISNUMBER('Total GW EIA'!K43),ISNUMBER('Total GW EIA'!K42),'Total GW EIA'!K42&gt;0),('Total GW EIA'!K43 - 'Total GW EIA'!K42)/'Total GW EIA'!$P43,0)</f>
        <v>0</v>
      </c>
      <c r="L33">
        <f>IF(AND(ISNUMBER('Total GW EIA'!L43),ISNUMBER('Total GW EIA'!L42),'Total GW EIA'!L42&gt;0),('Total GW EIA'!L43 - 'Total GW EIA'!L42)/'Total GW EIA'!$P43,0)</f>
        <v>0</v>
      </c>
      <c r="M33">
        <f>IF(AND(ISNUMBER('Total GW EIA'!M43),ISNUMBER('Total GW EIA'!M42),'Total GW EIA'!M42&gt;0),('Total GW EIA'!M43 - 'Total GW EIA'!M42)/'Total GW EIA'!$P43,0)</f>
        <v>0</v>
      </c>
      <c r="N33">
        <f>IF(AND(ISNUMBER('Total GW EIA'!N43),ISNUMBER('Total GW EIA'!N42),'Total GW EIA'!N42&gt;0),('Total GW EIA'!N43 - 'Total GW EIA'!N42)/'Total GW EIA'!$P43,0)</f>
        <v>1.1196118678858155E-3</v>
      </c>
      <c r="O33">
        <f>IF(AND(ISNUMBER('Total GW EIA'!O43),ISNUMBER('Total GW EIA'!O42),'Total GW EIA'!O42&gt;0),('Total GW EIA'!O43 - 'Total GW EIA'!O42)/'Total GW EIA'!$P43,0)</f>
        <v>0</v>
      </c>
      <c r="P33">
        <f>IF(AND(ISNUMBER('Total GW EIA'!P43),ISNUMBER('Total GW EIA'!P42),'Total GW EIA'!P42&gt;0),('Total GW EIA'!P43 - 'Total GW EIA'!P42)/'Total GW EIA'!$P43,0)</f>
        <v>3.4894569882440628E-2</v>
      </c>
    </row>
    <row r="34" spans="1:16" x14ac:dyDescent="0.85">
      <c r="A34" s="271">
        <v>1978</v>
      </c>
      <c r="B34">
        <f>IF(AND(ISNUMBER('Total GW EIA'!B44),ISNUMBER('Total GW EIA'!B43),'Total GW EIA'!B43&gt;0),('Total GW EIA'!B44 - 'Total GW EIA'!B43)/'Total GW EIA'!$P44,0)</f>
        <v>0</v>
      </c>
      <c r="C34">
        <f>IF(AND(ISNUMBER('Total GW EIA'!C44),ISNUMBER('Total GW EIA'!C43),'Total GW EIA'!C43&gt;0),('Total GW EIA'!C44 - 'Total GW EIA'!C43)/'Total GW EIA'!$P44,0)</f>
        <v>0</v>
      </c>
      <c r="D34">
        <f>IF(AND(ISNUMBER('Total GW EIA'!D44),ISNUMBER('Total GW EIA'!D43),'Total GW EIA'!D43&gt;0),('Total GW EIA'!D44 - 'Total GW EIA'!D43)/'Total GW EIA'!$P44,0)</f>
        <v>0</v>
      </c>
      <c r="E34">
        <f>IF(AND(ISNUMBER('Total GW EIA'!E44),ISNUMBER('Total GW EIA'!E43),'Total GW EIA'!E43&gt;0),('Total GW EIA'!E44 - 'Total GW EIA'!E43)/'Total GW EIA'!$P44,0)</f>
        <v>1.8799130592284042E-2</v>
      </c>
      <c r="F34">
        <f>IF(AND(ISNUMBER('Total GW EIA'!F44),ISNUMBER('Total GW EIA'!F43),'Total GW EIA'!F43&gt;0),('Total GW EIA'!F44 - 'Total GW EIA'!F43)/'Total GW EIA'!$P44,0)</f>
        <v>8.1887339250135849E-3</v>
      </c>
      <c r="G34">
        <f>IF(AND(ISNUMBER('Total GW EIA'!G44),ISNUMBER('Total GW EIA'!G43),'Total GW EIA'!G43&gt;0),('Total GW EIA'!G44 - 'Total GW EIA'!G43)/'Total GW EIA'!$P44,0)</f>
        <v>0</v>
      </c>
      <c r="H34">
        <f>IF(AND(ISNUMBER('Total GW EIA'!H44),ISNUMBER('Total GW EIA'!H43),'Total GW EIA'!H43&gt;0),('Total GW EIA'!H44 - 'Total GW EIA'!H43)/'Total GW EIA'!$P44,0)</f>
        <v>2.3546458974823608E-3</v>
      </c>
      <c r="I34">
        <f>IF(AND(ISNUMBER('Total GW EIA'!I44),ISNUMBER('Total GW EIA'!I43),'Total GW EIA'!I43&gt;0),('Total GW EIA'!I44 - 'Total GW EIA'!I43)/'Total GW EIA'!$P44,0)</f>
        <v>0</v>
      </c>
      <c r="J34">
        <f>IF(AND(ISNUMBER('Total GW EIA'!J44),ISNUMBER('Total GW EIA'!J43),'Total GW EIA'!J43&gt;0),('Total GW EIA'!J44 - 'Total GW EIA'!J43)/'Total GW EIA'!$P44,0)</f>
        <v>0</v>
      </c>
      <c r="K34">
        <f>IF(AND(ISNUMBER('Total GW EIA'!K44),ISNUMBER('Total GW EIA'!K43),'Total GW EIA'!K43&gt;0),('Total GW EIA'!K44 - 'Total GW EIA'!K43)/'Total GW EIA'!$P44,0)</f>
        <v>0</v>
      </c>
      <c r="L34">
        <f>IF(AND(ISNUMBER('Total GW EIA'!L44),ISNUMBER('Total GW EIA'!L43),'Total GW EIA'!L43&gt;0),('Total GW EIA'!L44 - 'Total GW EIA'!L43)/'Total GW EIA'!$P44,0)</f>
        <v>0</v>
      </c>
      <c r="M34">
        <f>IF(AND(ISNUMBER('Total GW EIA'!M44),ISNUMBER('Total GW EIA'!M43),'Total GW EIA'!M43&gt;0),('Total GW EIA'!M44 - 'Total GW EIA'!M43)/'Total GW EIA'!$P44,0)</f>
        <v>0</v>
      </c>
      <c r="N34">
        <f>IF(AND(ISNUMBER('Total GW EIA'!N44),ISNUMBER('Total GW EIA'!N43),'Total GW EIA'!N43&gt;0),('Total GW EIA'!N44 - 'Total GW EIA'!N43)/'Total GW EIA'!$P44,0)</f>
        <v>2.3546458974823348E-3</v>
      </c>
      <c r="O34">
        <f>IF(AND(ISNUMBER('Total GW EIA'!O44),ISNUMBER('Total GW EIA'!O43),'Total GW EIA'!O43&gt;0),('Total GW EIA'!O44 - 'Total GW EIA'!O43)/'Total GW EIA'!$P44,0)</f>
        <v>0</v>
      </c>
      <c r="P34">
        <f>IF(AND(ISNUMBER('Total GW EIA'!P44),ISNUMBER('Total GW EIA'!P43),'Total GW EIA'!P43&gt;0),('Total GW EIA'!P44 - 'Total GW EIA'!P43)/'Total GW EIA'!$P44,0)</f>
        <v>2.9342510414780011E-2</v>
      </c>
    </row>
    <row r="35" spans="1:16" x14ac:dyDescent="0.85">
      <c r="A35" s="271">
        <v>1979</v>
      </c>
      <c r="B35">
        <f>IF(AND(ISNUMBER('Total GW EIA'!B45),ISNUMBER('Total GW EIA'!B44),'Total GW EIA'!B44&gt;0),('Total GW EIA'!B45 - 'Total GW EIA'!B44)/'Total GW EIA'!$P45,0)</f>
        <v>0</v>
      </c>
      <c r="C35">
        <f>IF(AND(ISNUMBER('Total GW EIA'!C45),ISNUMBER('Total GW EIA'!C44),'Total GW EIA'!C44&gt;0),('Total GW EIA'!C45 - 'Total GW EIA'!C44)/'Total GW EIA'!$P45,0)</f>
        <v>0</v>
      </c>
      <c r="D35">
        <f>IF(AND(ISNUMBER('Total GW EIA'!D45),ISNUMBER('Total GW EIA'!D44),'Total GW EIA'!D44&gt;0),('Total GW EIA'!D45 - 'Total GW EIA'!D44)/'Total GW EIA'!$P45,0)</f>
        <v>0</v>
      </c>
      <c r="E35">
        <f>IF(AND(ISNUMBER('Total GW EIA'!E45),ISNUMBER('Total GW EIA'!E44),'Total GW EIA'!E44&gt;0),('Total GW EIA'!E45 - 'Total GW EIA'!E44)/'Total GW EIA'!$P45,0)</f>
        <v>2.0001768346595894E-2</v>
      </c>
      <c r="F35">
        <f>IF(AND(ISNUMBER('Total GW EIA'!F45),ISNUMBER('Total GW EIA'!F44),'Total GW EIA'!F44&gt;0),('Total GW EIA'!F45 - 'Total GW EIA'!F44)/'Total GW EIA'!$P45,0)</f>
        <v>-1.9045092838196253E-3</v>
      </c>
      <c r="G35">
        <f>IF(AND(ISNUMBER('Total GW EIA'!G45),ISNUMBER('Total GW EIA'!G44),'Total GW EIA'!G44&gt;0),('Total GW EIA'!G45 - 'Total GW EIA'!G44)/'Total GW EIA'!$P45,0)</f>
        <v>0</v>
      </c>
      <c r="H35">
        <f>IF(AND(ISNUMBER('Total GW EIA'!H45),ISNUMBER('Total GW EIA'!H44),'Total GW EIA'!H44&gt;0),('Total GW EIA'!H45 - 'Total GW EIA'!H44)/'Total GW EIA'!$P45,0)</f>
        <v>5.3050397877984082E-3</v>
      </c>
      <c r="I35">
        <f>IF(AND(ISNUMBER('Total GW EIA'!I45),ISNUMBER('Total GW EIA'!I44),'Total GW EIA'!I44&gt;0),('Total GW EIA'!I45 - 'Total GW EIA'!I44)/'Total GW EIA'!$P45,0)</f>
        <v>1.7683465959328044E-6</v>
      </c>
      <c r="J35">
        <f>IF(AND(ISNUMBER('Total GW EIA'!J45),ISNUMBER('Total GW EIA'!J44),'Total GW EIA'!J44&gt;0),('Total GW EIA'!J45 - 'Total GW EIA'!J44)/'Total GW EIA'!$P45,0)</f>
        <v>0</v>
      </c>
      <c r="K35">
        <f>IF(AND(ISNUMBER('Total GW EIA'!K45),ISNUMBER('Total GW EIA'!K44),'Total GW EIA'!K44&gt;0),('Total GW EIA'!K45 - 'Total GW EIA'!K44)/'Total GW EIA'!$P45,0)</f>
        <v>2.9177718832891253E-4</v>
      </c>
      <c r="L35">
        <f>IF(AND(ISNUMBER('Total GW EIA'!L45),ISNUMBER('Total GW EIA'!L44),'Total GW EIA'!L44&gt;0),('Total GW EIA'!L45 - 'Total GW EIA'!L44)/'Total GW EIA'!$P45,0)</f>
        <v>0</v>
      </c>
      <c r="M35">
        <f>IF(AND(ISNUMBER('Total GW EIA'!M45),ISNUMBER('Total GW EIA'!M44),'Total GW EIA'!M44&gt;0),('Total GW EIA'!M45 - 'Total GW EIA'!M44)/'Total GW EIA'!$P45,0)</f>
        <v>0</v>
      </c>
      <c r="N35">
        <f>IF(AND(ISNUMBER('Total GW EIA'!N45),ISNUMBER('Total GW EIA'!N44),'Total GW EIA'!N44&gt;0),('Total GW EIA'!N45 - 'Total GW EIA'!N44)/'Total GW EIA'!$P45,0)</f>
        <v>5.598585322723248E-3</v>
      </c>
      <c r="O35">
        <f>IF(AND(ISNUMBER('Total GW EIA'!O45),ISNUMBER('Total GW EIA'!O44),'Total GW EIA'!O44&gt;0),('Total GW EIA'!O45 - 'Total GW EIA'!O44)/'Total GW EIA'!$P45,0)</f>
        <v>0</v>
      </c>
      <c r="P35">
        <f>IF(AND(ISNUMBER('Total GW EIA'!P45),ISNUMBER('Total GW EIA'!P44),'Total GW EIA'!P44&gt;0),('Total GW EIA'!P45 - 'Total GW EIA'!P44)/'Total GW EIA'!$P45,0)</f>
        <v>2.3695844385499518E-2</v>
      </c>
    </row>
    <row r="36" spans="1:16" x14ac:dyDescent="0.85">
      <c r="A36" s="271">
        <v>1980</v>
      </c>
      <c r="B36">
        <f>IF(AND(ISNUMBER('Total GW EIA'!B46),ISNUMBER('Total GW EIA'!B45),'Total GW EIA'!B45&gt;0),('Total GW EIA'!B46 - 'Total GW EIA'!B45)/'Total GW EIA'!$P46,0)</f>
        <v>0</v>
      </c>
      <c r="C36">
        <f>IF(AND(ISNUMBER('Total GW EIA'!C46),ISNUMBER('Total GW EIA'!C45),'Total GW EIA'!C45&gt;0),('Total GW EIA'!C46 - 'Total GW EIA'!C45)/'Total GW EIA'!$P46,0)</f>
        <v>0</v>
      </c>
      <c r="D36">
        <f>IF(AND(ISNUMBER('Total GW EIA'!D46),ISNUMBER('Total GW EIA'!D45),'Total GW EIA'!D45&gt;0),('Total GW EIA'!D46 - 'Total GW EIA'!D45)/'Total GW EIA'!$P46,0)</f>
        <v>0</v>
      </c>
      <c r="E36">
        <f>IF(AND(ISNUMBER('Total GW EIA'!E46),ISNUMBER('Total GW EIA'!E45),'Total GW EIA'!E45&gt;0),('Total GW EIA'!E46 - 'Total GW EIA'!E45)/'Total GW EIA'!$P46,0)</f>
        <v>2.0731075008641554E-2</v>
      </c>
      <c r="F36">
        <f>IF(AND(ISNUMBER('Total GW EIA'!F46),ISNUMBER('Total GW EIA'!F45),'Total GW EIA'!F45&gt;0),('Total GW EIA'!F46 - 'Total GW EIA'!F45)/'Total GW EIA'!$P46,0)</f>
        <v>3.565502938126516E-3</v>
      </c>
      <c r="G36">
        <f>IF(AND(ISNUMBER('Total GW EIA'!G46),ISNUMBER('Total GW EIA'!G45),'Total GW EIA'!G45&gt;0),('Total GW EIA'!G46 - 'Total GW EIA'!G45)/'Total GW EIA'!$P46,0)</f>
        <v>0</v>
      </c>
      <c r="H36">
        <f>IF(AND(ISNUMBER('Total GW EIA'!H46),ISNUMBER('Total GW EIA'!H45),'Total GW EIA'!H45&gt;0),('Total GW EIA'!H46 - 'Total GW EIA'!H45)/'Total GW EIA'!$P46,0)</f>
        <v>-2.0739716557207099E-3</v>
      </c>
      <c r="I36">
        <f>IF(AND(ISNUMBER('Total GW EIA'!I46),ISNUMBER('Total GW EIA'!I45),'Total GW EIA'!I45&gt;0),('Total GW EIA'!I46 - 'Total GW EIA'!I45)/'Total GW EIA'!$P46,0)</f>
        <v>0</v>
      </c>
      <c r="J36">
        <f>IF(AND(ISNUMBER('Total GW EIA'!J46),ISNUMBER('Total GW EIA'!J45),'Total GW EIA'!J45&gt;0),('Total GW EIA'!J46 - 'Total GW EIA'!J45)/'Total GW EIA'!$P46,0)</f>
        <v>0</v>
      </c>
      <c r="K36">
        <f>IF(AND(ISNUMBER('Total GW EIA'!K46),ISNUMBER('Total GW EIA'!K45),'Total GW EIA'!K45&gt;0),('Total GW EIA'!K46 - 'Total GW EIA'!K45)/'Total GW EIA'!$P46,0)</f>
        <v>4.1825095057034217E-4</v>
      </c>
      <c r="L36">
        <f>IF(AND(ISNUMBER('Total GW EIA'!L46),ISNUMBER('Total GW EIA'!L45),'Total GW EIA'!L45&gt;0),('Total GW EIA'!L46 - 'Total GW EIA'!L45)/'Total GW EIA'!$P46,0)</f>
        <v>0</v>
      </c>
      <c r="M36">
        <f>IF(AND(ISNUMBER('Total GW EIA'!M46),ISNUMBER('Total GW EIA'!M45),'Total GW EIA'!M45&gt;0),('Total GW EIA'!M46 - 'Total GW EIA'!M45)/'Total GW EIA'!$P46,0)</f>
        <v>0</v>
      </c>
      <c r="N36">
        <f>IF(AND(ISNUMBER('Total GW EIA'!N46),ISNUMBER('Total GW EIA'!N45),'Total GW EIA'!N45&gt;0),('Total GW EIA'!N46 - 'Total GW EIA'!N45)/'Total GW EIA'!$P46,0)</f>
        <v>-1.65572070515036E-3</v>
      </c>
      <c r="O36">
        <f>IF(AND(ISNUMBER('Total GW EIA'!O46),ISNUMBER('Total GW EIA'!O45),'Total GW EIA'!O45&gt;0),('Total GW EIA'!O46 - 'Total GW EIA'!O45)/'Total GW EIA'!$P46,0)</f>
        <v>0</v>
      </c>
      <c r="P36">
        <f>IF(AND(ISNUMBER('Total GW EIA'!P46),ISNUMBER('Total GW EIA'!P45),'Total GW EIA'!P45&gt;0),('Total GW EIA'!P46 - 'Total GW EIA'!P45)/'Total GW EIA'!$P46,0)</f>
        <v>2.2640857241617737E-2</v>
      </c>
    </row>
    <row r="37" spans="1:16" x14ac:dyDescent="0.85">
      <c r="A37" s="271">
        <v>1981</v>
      </c>
      <c r="B37">
        <f>IF(AND(ISNUMBER('Total GW EIA'!B47),ISNUMBER('Total GW EIA'!B46),'Total GW EIA'!B46&gt;0),('Total GW EIA'!B47 - 'Total GW EIA'!B46)/'Total GW EIA'!$P47,0)</f>
        <v>0</v>
      </c>
      <c r="C37">
        <f>IF(AND(ISNUMBER('Total GW EIA'!C47),ISNUMBER('Total GW EIA'!C46),'Total GW EIA'!C46&gt;0),('Total GW EIA'!C47 - 'Total GW EIA'!C46)/'Total GW EIA'!$P47,0)</f>
        <v>0</v>
      </c>
      <c r="D37">
        <f>IF(AND(ISNUMBER('Total GW EIA'!D47),ISNUMBER('Total GW EIA'!D46),'Total GW EIA'!D46&gt;0),('Total GW EIA'!D47 - 'Total GW EIA'!D46)/'Total GW EIA'!$P47,0)</f>
        <v>0</v>
      </c>
      <c r="E37">
        <f>IF(AND(ISNUMBER('Total GW EIA'!E47),ISNUMBER('Total GW EIA'!E46),'Total GW EIA'!E46&gt;0),('Total GW EIA'!E47 - 'Total GW EIA'!E46)/'Total GW EIA'!$P47,0)</f>
        <v>2.4681597860605042E-2</v>
      </c>
      <c r="F37">
        <f>IF(AND(ISNUMBER('Total GW EIA'!F47),ISNUMBER('Total GW EIA'!F46),'Total GW EIA'!F46&gt;0),('Total GW EIA'!F47 - 'Total GW EIA'!F46)/'Total GW EIA'!$P47,0)</f>
        <v>7.0733745612568937E-3</v>
      </c>
      <c r="G37">
        <f>IF(AND(ISNUMBER('Total GW EIA'!G47),ISNUMBER('Total GW EIA'!G46),'Total GW EIA'!G46&gt;0),('Total GW EIA'!G47 - 'Total GW EIA'!G46)/'Total GW EIA'!$P47,0)</f>
        <v>0</v>
      </c>
      <c r="H37">
        <f>IF(AND(ISNUMBER('Total GW EIA'!H47),ISNUMBER('Total GW EIA'!H46),'Total GW EIA'!H46&gt;0),('Total GW EIA'!H47 - 'Total GW EIA'!H46)/'Total GW EIA'!$P47,0)</f>
        <v>1.169981614574633E-3</v>
      </c>
      <c r="I37">
        <f>IF(AND(ISNUMBER('Total GW EIA'!I47),ISNUMBER('Total GW EIA'!I46),'Total GW EIA'!I46&gt;0),('Total GW EIA'!I47 - 'Total GW EIA'!I46)/'Total GW EIA'!$P47,0)</f>
        <v>0</v>
      </c>
      <c r="J37">
        <f>IF(AND(ISNUMBER('Total GW EIA'!J47),ISNUMBER('Total GW EIA'!J46),'Total GW EIA'!J46&gt;0),('Total GW EIA'!J47 - 'Total GW EIA'!J46)/'Total GW EIA'!$P47,0)</f>
        <v>0</v>
      </c>
      <c r="K37">
        <f>IF(AND(ISNUMBER('Total GW EIA'!K47),ISNUMBER('Total GW EIA'!K46),'Total GW EIA'!K46&gt;0),('Total GW EIA'!K47 - 'Total GW EIA'!K46)/'Total GW EIA'!$P47,0)</f>
        <v>0</v>
      </c>
      <c r="L37">
        <f>IF(AND(ISNUMBER('Total GW EIA'!L47),ISNUMBER('Total GW EIA'!L46),'Total GW EIA'!L46&gt;0),('Total GW EIA'!L47 - 'Total GW EIA'!L46)/'Total GW EIA'!$P47,0)</f>
        <v>0</v>
      </c>
      <c r="M37">
        <f>IF(AND(ISNUMBER('Total GW EIA'!M47),ISNUMBER('Total GW EIA'!M46),'Total GW EIA'!M46&gt;0),('Total GW EIA'!M47 - 'Total GW EIA'!M46)/'Total GW EIA'!$P47,0)</f>
        <v>0</v>
      </c>
      <c r="N37">
        <f>IF(AND(ISNUMBER('Total GW EIA'!N47),ISNUMBER('Total GW EIA'!N46),'Total GW EIA'!N46&gt;0),('Total GW EIA'!N47 - 'Total GW EIA'!N46)/'Total GW EIA'!$P47,0)</f>
        <v>1.169981614574633E-3</v>
      </c>
      <c r="O37">
        <f>IF(AND(ISNUMBER('Total GW EIA'!O47),ISNUMBER('Total GW EIA'!O46),'Total GW EIA'!O46&gt;0),('Total GW EIA'!O47 - 'Total GW EIA'!O46)/'Total GW EIA'!$P47,0)</f>
        <v>0</v>
      </c>
      <c r="P37">
        <f>IF(AND(ISNUMBER('Total GW EIA'!P47),ISNUMBER('Total GW EIA'!P46),'Total GW EIA'!P46&gt;0),('Total GW EIA'!P47 - 'Total GW EIA'!P46)/'Total GW EIA'!$P47,0)</f>
        <v>3.2926625438742994E-2</v>
      </c>
    </row>
    <row r="38" spans="1:16" x14ac:dyDescent="0.85">
      <c r="A38" s="271">
        <v>1982</v>
      </c>
      <c r="B38">
        <f>IF(AND(ISNUMBER('Total GW EIA'!B48),ISNUMBER('Total GW EIA'!B47),'Total GW EIA'!B47&gt;0),('Total GW EIA'!B48 - 'Total GW EIA'!B47)/'Total GW EIA'!$P48,0)</f>
        <v>0</v>
      </c>
      <c r="C38">
        <f>IF(AND(ISNUMBER('Total GW EIA'!C48),ISNUMBER('Total GW EIA'!C47),'Total GW EIA'!C47&gt;0),('Total GW EIA'!C48 - 'Total GW EIA'!C47)/'Total GW EIA'!$P48,0)</f>
        <v>0</v>
      </c>
      <c r="D38">
        <f>IF(AND(ISNUMBER('Total GW EIA'!D48),ISNUMBER('Total GW EIA'!D47),'Total GW EIA'!D47&gt;0),('Total GW EIA'!D48 - 'Total GW EIA'!D47)/'Total GW EIA'!$P48,0)</f>
        <v>0</v>
      </c>
      <c r="E38">
        <f>IF(AND(ISNUMBER('Total GW EIA'!E48),ISNUMBER('Total GW EIA'!E47),'Total GW EIA'!E47&gt;0),('Total GW EIA'!E48 - 'Total GW EIA'!E47)/'Total GW EIA'!$P48,0)</f>
        <v>1.7414045950790307E-2</v>
      </c>
      <c r="F38">
        <f>IF(AND(ISNUMBER('Total GW EIA'!F48),ISNUMBER('Total GW EIA'!F47),'Total GW EIA'!F47&gt;0),('Total GW EIA'!F48 - 'Total GW EIA'!F47)/'Total GW EIA'!$P48,0)</f>
        <v>6.5064363695616668E-3</v>
      </c>
      <c r="G38">
        <f>IF(AND(ISNUMBER('Total GW EIA'!G48),ISNUMBER('Total GW EIA'!G47),'Total GW EIA'!G47&gt;0),('Total GW EIA'!G48 - 'Total GW EIA'!G47)/'Total GW EIA'!$P48,0)</f>
        <v>0</v>
      </c>
      <c r="H38">
        <f>IF(AND(ISNUMBER('Total GW EIA'!H48),ISNUMBER('Total GW EIA'!H47),'Total GW EIA'!H47&gt;0),('Total GW EIA'!H48 - 'Total GW EIA'!H47)/'Total GW EIA'!$P48,0)</f>
        <v>9.7767638911519343E-4</v>
      </c>
      <c r="I38">
        <f>IF(AND(ISNUMBER('Total GW EIA'!I48),ISNUMBER('Total GW EIA'!I47),'Total GW EIA'!I47&gt;0),('Total GW EIA'!I48 - 'Total GW EIA'!I47)/'Total GW EIA'!$P48,0)</f>
        <v>1.6294606485253394E-6</v>
      </c>
      <c r="J38">
        <f>IF(AND(ISNUMBER('Total GW EIA'!J48),ISNUMBER('Total GW EIA'!J47),'Total GW EIA'!J47&gt;0),('Total GW EIA'!J48 - 'Total GW EIA'!J47)/'Total GW EIA'!$P48,0)</f>
        <v>0</v>
      </c>
      <c r="K38">
        <f>IF(AND(ISNUMBER('Total GW EIA'!K48),ISNUMBER('Total GW EIA'!K47),'Total GW EIA'!K47&gt;0),('Total GW EIA'!K48 - 'Total GW EIA'!K47)/'Total GW EIA'!$P48,0)</f>
        <v>1.8412905328336318E-4</v>
      </c>
      <c r="L38">
        <f>IF(AND(ISNUMBER('Total GW EIA'!L48),ISNUMBER('Total GW EIA'!L47),'Total GW EIA'!L47&gt;0),('Total GW EIA'!L48 - 'Total GW EIA'!L47)/'Total GW EIA'!$P48,0)</f>
        <v>0</v>
      </c>
      <c r="M38">
        <f>IF(AND(ISNUMBER('Total GW EIA'!M48),ISNUMBER('Total GW EIA'!M47),'Total GW EIA'!M47&gt;0),('Total GW EIA'!M48 - 'Total GW EIA'!M47)/'Total GW EIA'!$P48,0)</f>
        <v>0</v>
      </c>
      <c r="N38">
        <f>IF(AND(ISNUMBER('Total GW EIA'!N48),ISNUMBER('Total GW EIA'!N47),'Total GW EIA'!N47&gt;0),('Total GW EIA'!N48 - 'Total GW EIA'!N47)/'Total GW EIA'!$P48,0)</f>
        <v>1.1732116669382416E-3</v>
      </c>
      <c r="O38">
        <f>IF(AND(ISNUMBER('Total GW EIA'!O48),ISNUMBER('Total GW EIA'!O47),'Total GW EIA'!O47&gt;0),('Total GW EIA'!O48 - 'Total GW EIA'!O47)/'Total GW EIA'!$P48,0)</f>
        <v>0</v>
      </c>
      <c r="P38">
        <f>IF(AND(ISNUMBER('Total GW EIA'!P48),ISNUMBER('Total GW EIA'!P47),'Total GW EIA'!P47&gt;0),('Total GW EIA'!P48 - 'Total GW EIA'!P47)/'Total GW EIA'!$P48,0)</f>
        <v>2.5093693987290354E-2</v>
      </c>
    </row>
    <row r="39" spans="1:16" x14ac:dyDescent="0.85">
      <c r="A39" s="271">
        <v>1983</v>
      </c>
      <c r="B39">
        <f>IF(AND(ISNUMBER('Total GW EIA'!B49),ISNUMBER('Total GW EIA'!B48),'Total GW EIA'!B48&gt;0),('Total GW EIA'!B49 - 'Total GW EIA'!B48)/'Total GW EIA'!$P49,0)</f>
        <v>0</v>
      </c>
      <c r="C39">
        <f>IF(AND(ISNUMBER('Total GW EIA'!C49),ISNUMBER('Total GW EIA'!C48),'Total GW EIA'!C48&gt;0),('Total GW EIA'!C49 - 'Total GW EIA'!C48)/'Total GW EIA'!$P49,0)</f>
        <v>0</v>
      </c>
      <c r="D39">
        <f>IF(AND(ISNUMBER('Total GW EIA'!D49),ISNUMBER('Total GW EIA'!D48),'Total GW EIA'!D48&gt;0),('Total GW EIA'!D49 - 'Total GW EIA'!D48)/'Total GW EIA'!$P49,0)</f>
        <v>0</v>
      </c>
      <c r="E39">
        <f>IF(AND(ISNUMBER('Total GW EIA'!E49),ISNUMBER('Total GW EIA'!E48),'Total GW EIA'!E48&gt;0),('Total GW EIA'!E49 - 'Total GW EIA'!E48)/'Total GW EIA'!$P49,0)</f>
        <v>5.165029785863833E-3</v>
      </c>
      <c r="F39">
        <f>IF(AND(ISNUMBER('Total GW EIA'!F49),ISNUMBER('Total GW EIA'!F48),'Total GW EIA'!F48&gt;0),('Total GW EIA'!F49 - 'Total GW EIA'!F48)/'Total GW EIA'!$P49,0)</f>
        <v>4.7882788600869487E-3</v>
      </c>
      <c r="G39">
        <f>IF(AND(ISNUMBER('Total GW EIA'!G49),ISNUMBER('Total GW EIA'!G48),'Total GW EIA'!G48&gt;0),('Total GW EIA'!G49 - 'Total GW EIA'!G48)/'Total GW EIA'!$P49,0)</f>
        <v>0</v>
      </c>
      <c r="H39">
        <f>IF(AND(ISNUMBER('Total GW EIA'!H49),ISNUMBER('Total GW EIA'!H48),'Total GW EIA'!H48&gt;0),('Total GW EIA'!H49 - 'Total GW EIA'!H48)/'Total GW EIA'!$P49,0)</f>
        <v>1.4490420222186533E-3</v>
      </c>
      <c r="I39">
        <f>IF(AND(ISNUMBER('Total GW EIA'!I49),ISNUMBER('Total GW EIA'!I48),'Total GW EIA'!I48&gt;0),('Total GW EIA'!I49 - 'Total GW EIA'!I48)/'Total GW EIA'!$P49,0)</f>
        <v>2.1413620995008856E-4</v>
      </c>
      <c r="J39">
        <f>IF(AND(ISNUMBER('Total GW EIA'!J49),ISNUMBER('Total GW EIA'!J48),'Total GW EIA'!J48&gt;0),('Total GW EIA'!J49 - 'Total GW EIA'!J48)/'Total GW EIA'!$P49,0)</f>
        <v>0</v>
      </c>
      <c r="K39">
        <f>IF(AND(ISNUMBER('Total GW EIA'!K49),ISNUMBER('Total GW EIA'!K48),'Total GW EIA'!K48&gt;0),('Total GW EIA'!K49 - 'Total GW EIA'!K48)/'Total GW EIA'!$P49,0)</f>
        <v>2.9785863790049921E-4</v>
      </c>
      <c r="L39">
        <f>IF(AND(ISNUMBER('Total GW EIA'!L49),ISNUMBER('Total GW EIA'!L48),'Total GW EIA'!L48&gt;0),('Total GW EIA'!L49 - 'Total GW EIA'!L48)/'Total GW EIA'!$P49,0)</f>
        <v>0</v>
      </c>
      <c r="M39">
        <f>IF(AND(ISNUMBER('Total GW EIA'!M49),ISNUMBER('Total GW EIA'!M48),'Total GW EIA'!M48&gt;0),('Total GW EIA'!M49 - 'Total GW EIA'!M48)/'Total GW EIA'!$P49,0)</f>
        <v>0</v>
      </c>
      <c r="N39">
        <f>IF(AND(ISNUMBER('Total GW EIA'!N49),ISNUMBER('Total GW EIA'!N48),'Total GW EIA'!N48&gt;0),('Total GW EIA'!N49 - 'Total GW EIA'!N48)/'Total GW EIA'!$P49,0)</f>
        <v>1.9610368700692378E-3</v>
      </c>
      <c r="O39">
        <f>IF(AND(ISNUMBER('Total GW EIA'!O49),ISNUMBER('Total GW EIA'!O48),'Total GW EIA'!O48&gt;0),('Total GW EIA'!O49 - 'Total GW EIA'!O48)/'Total GW EIA'!$P49,0)</f>
        <v>0</v>
      </c>
      <c r="P39">
        <f>IF(AND(ISNUMBER('Total GW EIA'!P49),ISNUMBER('Total GW EIA'!P48),'Total GW EIA'!P48&gt;0),('Total GW EIA'!P49 - 'Total GW EIA'!P48)/'Total GW EIA'!$P49,0)</f>
        <v>1.1914345516019928E-2</v>
      </c>
    </row>
    <row r="40" spans="1:16" x14ac:dyDescent="0.85">
      <c r="A40" s="271">
        <v>1984</v>
      </c>
      <c r="B40">
        <f>IF(AND(ISNUMBER('Total GW EIA'!B50),ISNUMBER('Total GW EIA'!B49),'Total GW EIA'!B49&gt;0),('Total GW EIA'!B50 - 'Total GW EIA'!B49)/'Total GW EIA'!$P50,0)</f>
        <v>0</v>
      </c>
      <c r="C40">
        <f>IF(AND(ISNUMBER('Total GW EIA'!C50),ISNUMBER('Total GW EIA'!C49),'Total GW EIA'!C49&gt;0),('Total GW EIA'!C50 - 'Total GW EIA'!C49)/'Total GW EIA'!$P50,0)</f>
        <v>0</v>
      </c>
      <c r="D40">
        <f>IF(AND(ISNUMBER('Total GW EIA'!D50),ISNUMBER('Total GW EIA'!D49),'Total GW EIA'!D49&gt;0),('Total GW EIA'!D50 - 'Total GW EIA'!D49)/'Total GW EIA'!$P50,0)</f>
        <v>0</v>
      </c>
      <c r="E40">
        <f>IF(AND(ISNUMBER('Total GW EIA'!E50),ISNUMBER('Total GW EIA'!E49),'Total GW EIA'!E49&gt;0),('Total GW EIA'!E50 - 'Total GW EIA'!E49)/'Total GW EIA'!$P50,0)</f>
        <v>9.1528893087702533E-3</v>
      </c>
      <c r="F40">
        <f>IF(AND(ISNUMBER('Total GW EIA'!F50),ISNUMBER('Total GW EIA'!F49),'Total GW EIA'!F49&gt;0),('Total GW EIA'!F50 - 'Total GW EIA'!F49)/'Total GW EIA'!$P50,0)</f>
        <v>1.045977011494253E-2</v>
      </c>
      <c r="G40">
        <f>IF(AND(ISNUMBER('Total GW EIA'!G50),ISNUMBER('Total GW EIA'!G49),'Total GW EIA'!G49&gt;0),('Total GW EIA'!G50 - 'Total GW EIA'!G49)/'Total GW EIA'!$P50,0)</f>
        <v>0</v>
      </c>
      <c r="H40">
        <f>IF(AND(ISNUMBER('Total GW EIA'!H50),ISNUMBER('Total GW EIA'!H49),'Total GW EIA'!H49&gt;0),('Total GW EIA'!H50 - 'Total GW EIA'!H49)/'Total GW EIA'!$P50,0)</f>
        <v>2.2043772634230694E-3</v>
      </c>
      <c r="I40">
        <f>IF(AND(ISNUMBER('Total GW EIA'!I50),ISNUMBER('Total GW EIA'!I49),'Total GW EIA'!I49&gt;0),('Total GW EIA'!I50 - 'Total GW EIA'!I49)/'Total GW EIA'!$P50,0)</f>
        <v>1.7162651550936862E-4</v>
      </c>
      <c r="J40">
        <f>IF(AND(ISNUMBER('Total GW EIA'!J50),ISNUMBER('Total GW EIA'!J49),'Total GW EIA'!J49&gt;0),('Total GW EIA'!J50 - 'Total GW EIA'!J49)/'Total GW EIA'!$P50,0)</f>
        <v>0</v>
      </c>
      <c r="K40">
        <f>IF(AND(ISNUMBER('Total GW EIA'!K50),ISNUMBER('Total GW EIA'!K49),'Total GW EIA'!K49&gt;0),('Total GW EIA'!K50 - 'Total GW EIA'!K49)/'Total GW EIA'!$P50,0)</f>
        <v>3.7789324515824315E-5</v>
      </c>
      <c r="L40">
        <f>IF(AND(ISNUMBER('Total GW EIA'!L50),ISNUMBER('Total GW EIA'!L49),'Total GW EIA'!L49&gt;0),('Total GW EIA'!L50 - 'Total GW EIA'!L49)/'Total GW EIA'!$P50,0)</f>
        <v>0</v>
      </c>
      <c r="M40">
        <f>IF(AND(ISNUMBER('Total GW EIA'!M50),ISNUMBER('Total GW EIA'!M49),'Total GW EIA'!M49&gt;0),('Total GW EIA'!M50 - 'Total GW EIA'!M49)/'Total GW EIA'!$P50,0)</f>
        <v>1.7320107069752797E-5</v>
      </c>
      <c r="N40">
        <f>IF(AND(ISNUMBER('Total GW EIA'!N50),ISNUMBER('Total GW EIA'!N49),'Total GW EIA'!N49&gt;0),('Total GW EIA'!N50 - 'Total GW EIA'!N49)/'Total GW EIA'!$P50,0)</f>
        <v>2.4311132105180235E-3</v>
      </c>
      <c r="O40">
        <f>IF(AND(ISNUMBER('Total GW EIA'!O50),ISNUMBER('Total GW EIA'!O49),'Total GW EIA'!O49&gt;0),('Total GW EIA'!O50 - 'Total GW EIA'!O49)/'Total GW EIA'!$P50,0)</f>
        <v>0</v>
      </c>
      <c r="P40">
        <f>IF(AND(ISNUMBER('Total GW EIA'!P50),ISNUMBER('Total GW EIA'!P49),'Total GW EIA'!P49&gt;0),('Total GW EIA'!P50 - 'Total GW EIA'!P49)/'Total GW EIA'!$P50,0)</f>
        <v>2.2043772634230831E-2</v>
      </c>
    </row>
    <row r="41" spans="1:16" x14ac:dyDescent="0.85">
      <c r="A41" s="271">
        <v>1985</v>
      </c>
      <c r="B41">
        <f>IF(AND(ISNUMBER('Total GW EIA'!B51),ISNUMBER('Total GW EIA'!B50),'Total GW EIA'!B50&gt;0),('Total GW EIA'!B51 - 'Total GW EIA'!B50)/'Total GW EIA'!$P51,0)</f>
        <v>0</v>
      </c>
      <c r="C41">
        <f>IF(AND(ISNUMBER('Total GW EIA'!C51),ISNUMBER('Total GW EIA'!C50),'Total GW EIA'!C50&gt;0),('Total GW EIA'!C51 - 'Total GW EIA'!C50)/'Total GW EIA'!$P51,0)</f>
        <v>0</v>
      </c>
      <c r="D41">
        <f>IF(AND(ISNUMBER('Total GW EIA'!D51),ISNUMBER('Total GW EIA'!D50),'Total GW EIA'!D50&gt;0),('Total GW EIA'!D51 - 'Total GW EIA'!D50)/'Total GW EIA'!$P51,0)</f>
        <v>0</v>
      </c>
      <c r="E41">
        <f>IF(AND(ISNUMBER('Total GW EIA'!E51),ISNUMBER('Total GW EIA'!E50),'Total GW EIA'!E50&gt;0),('Total GW EIA'!E51 - 'Total GW EIA'!E50)/'Total GW EIA'!$P51,0)</f>
        <v>9.7313797313796947E-3</v>
      </c>
      <c r="F41">
        <f>IF(AND(ISNUMBER('Total GW EIA'!F51),ISNUMBER('Total GW EIA'!F50),'Total GW EIA'!F50&gt;0),('Total GW EIA'!F51 - 'Total GW EIA'!F50)/'Total GW EIA'!$P51,0)</f>
        <v>1.4873321123321129E-2</v>
      </c>
      <c r="G41">
        <f>IF(AND(ISNUMBER('Total GW EIA'!G51),ISNUMBER('Total GW EIA'!G50),'Total GW EIA'!G50&gt;0),('Total GW EIA'!G51 - 'Total GW EIA'!G50)/'Total GW EIA'!$P51,0)</f>
        <v>0</v>
      </c>
      <c r="H41">
        <f>IF(AND(ISNUMBER('Total GW EIA'!H51),ISNUMBER('Total GW EIA'!H50),'Total GW EIA'!H50&gt;0),('Total GW EIA'!H51 - 'Total GW EIA'!H50)/'Total GW EIA'!$P51,0)</f>
        <v>5.4945054945055071E-3</v>
      </c>
      <c r="I41">
        <f>IF(AND(ISNUMBER('Total GW EIA'!I51),ISNUMBER('Total GW EIA'!I50),'Total GW EIA'!I50&gt;0),('Total GW EIA'!I51 - 'Total GW EIA'!I50)/'Total GW EIA'!$P51,0)</f>
        <v>-1.8467643467643465E-4</v>
      </c>
      <c r="J41">
        <f>IF(AND(ISNUMBER('Total GW EIA'!J51),ISNUMBER('Total GW EIA'!J50),'Total GW EIA'!J50&gt;0),('Total GW EIA'!J51 - 'Total GW EIA'!J50)/'Total GW EIA'!$P51,0)</f>
        <v>0</v>
      </c>
      <c r="K41">
        <f>IF(AND(ISNUMBER('Total GW EIA'!K51),ISNUMBER('Total GW EIA'!K50),'Total GW EIA'!K50&gt;0),('Total GW EIA'!K51 - 'Total GW EIA'!K50)/'Total GW EIA'!$P51,0)</f>
        <v>5.3266178266178263E-4</v>
      </c>
      <c r="L41">
        <f>IF(AND(ISNUMBER('Total GW EIA'!L51),ISNUMBER('Total GW EIA'!L50),'Total GW EIA'!L50&gt;0),('Total GW EIA'!L51 - 'Total GW EIA'!L50)/'Total GW EIA'!$P51,0)</f>
        <v>0</v>
      </c>
      <c r="M41">
        <f>IF(AND(ISNUMBER('Total GW EIA'!M51),ISNUMBER('Total GW EIA'!M50),'Total GW EIA'!M50&gt;0),('Total GW EIA'!M51 - 'Total GW EIA'!M50)/'Total GW EIA'!$P51,0)</f>
        <v>1.5262515262515222E-6</v>
      </c>
      <c r="N41">
        <f>IF(AND(ISNUMBER('Total GW EIA'!N51),ISNUMBER('Total GW EIA'!N50),'Total GW EIA'!N50&gt;0),('Total GW EIA'!N51 - 'Total GW EIA'!N50)/'Total GW EIA'!$P51,0)</f>
        <v>6.0729548229548217E-3</v>
      </c>
      <c r="O41">
        <f>IF(AND(ISNUMBER('Total GW EIA'!O51),ISNUMBER('Total GW EIA'!O50),'Total GW EIA'!O50&gt;0),('Total GW EIA'!O51 - 'Total GW EIA'!O50)/'Total GW EIA'!$P51,0)</f>
        <v>0</v>
      </c>
      <c r="P41">
        <f>IF(AND(ISNUMBER('Total GW EIA'!P51),ISNUMBER('Total GW EIA'!P50),'Total GW EIA'!P50&gt;0),('Total GW EIA'!P51 - 'Total GW EIA'!P50)/'Total GW EIA'!$P51,0)</f>
        <v>3.0677655677655711E-2</v>
      </c>
    </row>
    <row r="42" spans="1:16" x14ac:dyDescent="0.85">
      <c r="A42" s="271">
        <v>1986</v>
      </c>
      <c r="B42">
        <f>IF(AND(ISNUMBER('Total GW EIA'!B52),ISNUMBER('Total GW EIA'!B51),'Total GW EIA'!B51&gt;0),('Total GW EIA'!B52 - 'Total GW EIA'!B51)/'Total GW EIA'!$P52,0)</f>
        <v>0</v>
      </c>
      <c r="C42">
        <f>IF(AND(ISNUMBER('Total GW EIA'!C52),ISNUMBER('Total GW EIA'!C51),'Total GW EIA'!C51&gt;0),('Total GW EIA'!C52 - 'Total GW EIA'!C51)/'Total GW EIA'!$P52,0)</f>
        <v>0</v>
      </c>
      <c r="D42">
        <f>IF(AND(ISNUMBER('Total GW EIA'!D52),ISNUMBER('Total GW EIA'!D51),'Total GW EIA'!D51&gt;0),('Total GW EIA'!D52 - 'Total GW EIA'!D51)/'Total GW EIA'!$P52,0)</f>
        <v>0</v>
      </c>
      <c r="E42">
        <f>IF(AND(ISNUMBER('Total GW EIA'!E52),ISNUMBER('Total GW EIA'!E51),'Total GW EIA'!E51&gt;0),('Total GW EIA'!E52 - 'Total GW EIA'!E51)/'Total GW EIA'!$P52,0)</f>
        <v>5.0887484957882652E-3</v>
      </c>
      <c r="F42">
        <f>IF(AND(ISNUMBER('Total GW EIA'!F52),ISNUMBER('Total GW EIA'!F51),'Total GW EIA'!F51&gt;0),('Total GW EIA'!F52 - 'Total GW EIA'!F51)/'Total GW EIA'!$P52,0)</f>
        <v>8.7906137184115447E-3</v>
      </c>
      <c r="G42">
        <f>IF(AND(ISNUMBER('Total GW EIA'!G52),ISNUMBER('Total GW EIA'!G51),'Total GW EIA'!G51&gt;0),('Total GW EIA'!G52 - 'Total GW EIA'!G51)/'Total GW EIA'!$P52,0)</f>
        <v>0</v>
      </c>
      <c r="H42">
        <f>IF(AND(ISNUMBER('Total GW EIA'!H52),ISNUMBER('Total GW EIA'!H51),'Total GW EIA'!H51&gt;0),('Total GW EIA'!H52 - 'Total GW EIA'!H51)/'Total GW EIA'!$P52,0)</f>
        <v>6.0168471720817014E-4</v>
      </c>
      <c r="I42">
        <f>IF(AND(ISNUMBER('Total GW EIA'!I52),ISNUMBER('Total GW EIA'!I51),'Total GW EIA'!I51&gt;0),('Total GW EIA'!I52 - 'Total GW EIA'!I51)/'Total GW EIA'!$P52,0)</f>
        <v>-1.0529482551143211E-5</v>
      </c>
      <c r="J42">
        <f>IF(AND(ISNUMBER('Total GW EIA'!J52),ISNUMBER('Total GW EIA'!J51),'Total GW EIA'!J51&gt;0),('Total GW EIA'!J52 - 'Total GW EIA'!J51)/'Total GW EIA'!$P52,0)</f>
        <v>0</v>
      </c>
      <c r="K42">
        <f>IF(AND(ISNUMBER('Total GW EIA'!K52),ISNUMBER('Total GW EIA'!K51),'Total GW EIA'!K51&gt;0),('Total GW EIA'!K52 - 'Total GW EIA'!K51)/'Total GW EIA'!$P52,0)</f>
        <v>-3.3092659446450091E-5</v>
      </c>
      <c r="L42">
        <f>IF(AND(ISNUMBER('Total GW EIA'!L52),ISNUMBER('Total GW EIA'!L51),'Total GW EIA'!L51&gt;0),('Total GW EIA'!L52 - 'Total GW EIA'!L51)/'Total GW EIA'!$P52,0)</f>
        <v>0</v>
      </c>
      <c r="M42">
        <f>IF(AND(ISNUMBER('Total GW EIA'!M52),ISNUMBER('Total GW EIA'!M51),'Total GW EIA'!M51&gt;0),('Total GW EIA'!M52 - 'Total GW EIA'!M51)/'Total GW EIA'!$P52,0)</f>
        <v>1.5042117930204586E-6</v>
      </c>
      <c r="N42">
        <f>IF(AND(ISNUMBER('Total GW EIA'!N52),ISNUMBER('Total GW EIA'!N51),'Total GW EIA'!N51&gt;0),('Total GW EIA'!N52 - 'Total GW EIA'!N51)/'Total GW EIA'!$P52,0)</f>
        <v>5.6107099879663762E-4</v>
      </c>
      <c r="O42">
        <f>IF(AND(ISNUMBER('Total GW EIA'!O52),ISNUMBER('Total GW EIA'!O51),'Total GW EIA'!O51&gt;0),('Total GW EIA'!O52 - 'Total GW EIA'!O51)/'Total GW EIA'!$P52,0)</f>
        <v>0</v>
      </c>
      <c r="P42">
        <f>IF(AND(ISNUMBER('Total GW EIA'!P52),ISNUMBER('Total GW EIA'!P51),'Total GW EIA'!P51&gt;0),('Total GW EIA'!P52 - 'Total GW EIA'!P51)/'Total GW EIA'!$P52,0)</f>
        <v>1.4440433212996253E-2</v>
      </c>
    </row>
    <row r="43" spans="1:16" x14ac:dyDescent="0.85">
      <c r="A43" s="271">
        <v>1987</v>
      </c>
      <c r="B43">
        <f>IF(AND(ISNUMBER('Total GW EIA'!B53),ISNUMBER('Total GW EIA'!B52),'Total GW EIA'!B52&gt;0),('Total GW EIA'!B53 - 'Total GW EIA'!B52)/'Total GW EIA'!$P53,0)</f>
        <v>0</v>
      </c>
      <c r="C43">
        <f>IF(AND(ISNUMBER('Total GW EIA'!C53),ISNUMBER('Total GW EIA'!C52),'Total GW EIA'!C52&gt;0),('Total GW EIA'!C53 - 'Total GW EIA'!C52)/'Total GW EIA'!$P53,0)</f>
        <v>0</v>
      </c>
      <c r="D43">
        <f>IF(AND(ISNUMBER('Total GW EIA'!D53),ISNUMBER('Total GW EIA'!D52),'Total GW EIA'!D52&gt;0),('Total GW EIA'!D53 - 'Total GW EIA'!D52)/'Total GW EIA'!$P53,0)</f>
        <v>0</v>
      </c>
      <c r="E43">
        <f>IF(AND(ISNUMBER('Total GW EIA'!E53),ISNUMBER('Total GW EIA'!E52),'Total GW EIA'!E52&gt;0),('Total GW EIA'!E53 - 'Total GW EIA'!E52)/'Total GW EIA'!$P53,0)</f>
        <v>7.4766355140181318E-4</v>
      </c>
      <c r="F43">
        <f>IF(AND(ISNUMBER('Total GW EIA'!F53),ISNUMBER('Total GW EIA'!F52),'Total GW EIA'!F52&gt;0),('Total GW EIA'!F53 - 'Total GW EIA'!F52)/'Total GW EIA'!$P53,0)</f>
        <v>1.2375018543242839E-2</v>
      </c>
      <c r="G43">
        <f>IF(AND(ISNUMBER('Total GW EIA'!G53),ISNUMBER('Total GW EIA'!G52),'Total GW EIA'!G52&gt;0),('Total GW EIA'!G53 - 'Total GW EIA'!G52)/'Total GW EIA'!$P53,0)</f>
        <v>0</v>
      </c>
      <c r="H43">
        <f>IF(AND(ISNUMBER('Total GW EIA'!H53),ISNUMBER('Total GW EIA'!H52),'Total GW EIA'!H52&gt;0),('Total GW EIA'!H53 - 'Total GW EIA'!H52)/'Total GW EIA'!$P53,0)</f>
        <v>5.9338377095387285E-4</v>
      </c>
      <c r="I43">
        <f>IF(AND(ISNUMBER('Total GW EIA'!I53),ISNUMBER('Total GW EIA'!I52),'Total GW EIA'!I52&gt;0),('Total GW EIA'!I53 - 'Total GW EIA'!I52)/'Total GW EIA'!$P53,0)</f>
        <v>1.1867675419077299E-5</v>
      </c>
      <c r="J43">
        <f>IF(AND(ISNUMBER('Total GW EIA'!J53),ISNUMBER('Total GW EIA'!J52),'Total GW EIA'!J52&gt;0),('Total GW EIA'!J53 - 'Total GW EIA'!J52)/'Total GW EIA'!$P53,0)</f>
        <v>7.2689511941848405E-5</v>
      </c>
      <c r="K43">
        <f>IF(AND(ISNUMBER('Total GW EIA'!K53),ISNUMBER('Total GW EIA'!K52),'Total GW EIA'!K52&gt;0),('Total GW EIA'!K53 - 'Total GW EIA'!K52)/'Total GW EIA'!$P53,0)</f>
        <v>-1.3351134846462125E-5</v>
      </c>
      <c r="L43">
        <f>IF(AND(ISNUMBER('Total GW EIA'!L53),ISNUMBER('Total GW EIA'!L52),'Total GW EIA'!L52&gt;0),('Total GW EIA'!L53 - 'Total GW EIA'!L52)/'Total GW EIA'!$P53,0)</f>
        <v>0</v>
      </c>
      <c r="M43">
        <f>IF(AND(ISNUMBER('Total GW EIA'!M53),ISNUMBER('Total GW EIA'!M52),'Total GW EIA'!M52&gt;0),('Total GW EIA'!M53 - 'Total GW EIA'!M52)/'Total GW EIA'!$P53,0)</f>
        <v>8.9007565643079684E-6</v>
      </c>
      <c r="N43">
        <f>IF(AND(ISNUMBER('Total GW EIA'!N53),ISNUMBER('Total GW EIA'!N52),'Total GW EIA'!N52&gt;0),('Total GW EIA'!N53 - 'Total GW EIA'!N52)/'Total GW EIA'!$P53,0)</f>
        <v>6.7349058003262643E-4</v>
      </c>
      <c r="O43">
        <f>IF(AND(ISNUMBER('Total GW EIA'!O53),ISNUMBER('Total GW EIA'!O52),'Total GW EIA'!O52&gt;0),('Total GW EIA'!O53 - 'Total GW EIA'!O52)/'Total GW EIA'!$P53,0)</f>
        <v>0</v>
      </c>
      <c r="P43">
        <f>IF(AND(ISNUMBER('Total GW EIA'!P53),ISNUMBER('Total GW EIA'!P52),'Total GW EIA'!P52&gt;0),('Total GW EIA'!P53 - 'Total GW EIA'!P52)/'Total GW EIA'!$P53,0)</f>
        <v>1.3796172674677448E-2</v>
      </c>
    </row>
    <row r="44" spans="1:16" x14ac:dyDescent="0.85">
      <c r="A44" s="271">
        <v>1988</v>
      </c>
      <c r="B44">
        <f>IF(AND(ISNUMBER('Total GW EIA'!B54),ISNUMBER('Total GW EIA'!B53),'Total GW EIA'!B53&gt;0),('Total GW EIA'!B54 - 'Total GW EIA'!B53)/'Total GW EIA'!$P54,0)</f>
        <v>0</v>
      </c>
      <c r="C44">
        <f>IF(AND(ISNUMBER('Total GW EIA'!C54),ISNUMBER('Total GW EIA'!C53),'Total GW EIA'!C53&gt;0),('Total GW EIA'!C54 - 'Total GW EIA'!C53)/'Total GW EIA'!$P54,0)</f>
        <v>0</v>
      </c>
      <c r="D44">
        <f>IF(AND(ISNUMBER('Total GW EIA'!D54),ISNUMBER('Total GW EIA'!D53),'Total GW EIA'!D53&gt;0),('Total GW EIA'!D54 - 'Total GW EIA'!D53)/'Total GW EIA'!$P54,0)</f>
        <v>0</v>
      </c>
      <c r="E44">
        <f>IF(AND(ISNUMBER('Total GW EIA'!E54),ISNUMBER('Total GW EIA'!E53),'Total GW EIA'!E53&gt;0),('Total GW EIA'!E54 - 'Total GW EIA'!E53)/'Total GW EIA'!$P54,0)</f>
        <v>2.6088239634056796E-3</v>
      </c>
      <c r="F44">
        <f>IF(AND(ISNUMBER('Total GW EIA'!F54),ISNUMBER('Total GW EIA'!F53),'Total GW EIA'!F53&gt;0),('Total GW EIA'!F54 - 'Total GW EIA'!F53)/'Total GW EIA'!$P54,0)</f>
        <v>1.6408440312822704E-3</v>
      </c>
      <c r="G44">
        <f>IF(AND(ISNUMBER('Total GW EIA'!G54),ISNUMBER('Total GW EIA'!G53),'Total GW EIA'!G53&gt;0),('Total GW EIA'!G54 - 'Total GW EIA'!G53)/'Total GW EIA'!$P54,0)</f>
        <v>0</v>
      </c>
      <c r="H44">
        <f>IF(AND(ISNUMBER('Total GW EIA'!H54),ISNUMBER('Total GW EIA'!H53),'Total GW EIA'!H53&gt;0),('Total GW EIA'!H54 - 'Total GW EIA'!H53)/'Total GW EIA'!$P54,0)</f>
        <v>8.8534749889330718E-4</v>
      </c>
      <c r="I44">
        <f>IF(AND(ISNUMBER('Total GW EIA'!I54),ISNUMBER('Total GW EIA'!I53),'Total GW EIA'!I53&gt;0),('Total GW EIA'!I54 - 'Total GW EIA'!I53)/'Total GW EIA'!$P54,0)</f>
        <v>2.9511583296443836E-5</v>
      </c>
      <c r="J44">
        <f>IF(AND(ISNUMBER('Total GW EIA'!J54),ISNUMBER('Total GW EIA'!J53),'Total GW EIA'!J53&gt;0),('Total GW EIA'!J54 - 'Total GW EIA'!J53)/'Total GW EIA'!$P54,0)</f>
        <v>0</v>
      </c>
      <c r="K44">
        <f>IF(AND(ISNUMBER('Total GW EIA'!K54),ISNUMBER('Total GW EIA'!K53),'Total GW EIA'!K53&gt;0),('Total GW EIA'!K54 - 'Total GW EIA'!K53)/'Total GW EIA'!$P54,0)</f>
        <v>1.741183414490189E-4</v>
      </c>
      <c r="L44">
        <f>IF(AND(ISNUMBER('Total GW EIA'!L54),ISNUMBER('Total GW EIA'!L53),'Total GW EIA'!L53&gt;0),('Total GW EIA'!L54 - 'Total GW EIA'!L53)/'Total GW EIA'!$P54,0)</f>
        <v>0</v>
      </c>
      <c r="M44">
        <f>IF(AND(ISNUMBER('Total GW EIA'!M54),ISNUMBER('Total GW EIA'!M53),'Total GW EIA'!M53&gt;0),('Total GW EIA'!M54 - 'Total GW EIA'!M53)/'Total GW EIA'!$P54,0)</f>
        <v>-2.6560424966799469E-5</v>
      </c>
      <c r="N44">
        <f>IF(AND(ISNUMBER('Total GW EIA'!N54),ISNUMBER('Total GW EIA'!N53),'Total GW EIA'!N53&gt;0),('Total GW EIA'!N54 - 'Total GW EIA'!N53)/'Total GW EIA'!$P54,0)</f>
        <v>1.062416998671977E-3</v>
      </c>
      <c r="O44">
        <f>IF(AND(ISNUMBER('Total GW EIA'!O54),ISNUMBER('Total GW EIA'!O53),'Total GW EIA'!O53&gt;0),('Total GW EIA'!O54 - 'Total GW EIA'!O53)/'Total GW EIA'!$P54,0)</f>
        <v>0</v>
      </c>
      <c r="P44">
        <f>IF(AND(ISNUMBER('Total GW EIA'!P54),ISNUMBER('Total GW EIA'!P53),'Total GW EIA'!P53&gt;0),('Total GW EIA'!P54 - 'Total GW EIA'!P53)/'Total GW EIA'!$P54,0)</f>
        <v>5.3120849933599272E-3</v>
      </c>
    </row>
    <row r="45" spans="1:16" x14ac:dyDescent="0.85">
      <c r="A45" s="271">
        <v>1989</v>
      </c>
      <c r="B45">
        <f>IF(AND(ISNUMBER('Total GW EIA'!B55),ISNUMBER('Total GW EIA'!B54),'Total GW EIA'!B54&gt;0),('Total GW EIA'!B55 - 'Total GW EIA'!B54)/'Total GW EIA'!$P55,0)</f>
        <v>0</v>
      </c>
      <c r="C45">
        <f>IF(AND(ISNUMBER('Total GW EIA'!C55),ISNUMBER('Total GW EIA'!C54),'Total GW EIA'!C54&gt;0),('Total GW EIA'!C55 - 'Total GW EIA'!C54)/'Total GW EIA'!$P55,0)</f>
        <v>0</v>
      </c>
      <c r="D45">
        <f>IF(AND(ISNUMBER('Total GW EIA'!D55),ISNUMBER('Total GW EIA'!D54),'Total GW EIA'!D54&gt;0),('Total GW EIA'!D55 - 'Total GW EIA'!D54)/'Total GW EIA'!$P55,0)</f>
        <v>0</v>
      </c>
      <c r="E45">
        <f>IF(AND(ISNUMBER('Total GW EIA'!E55),ISNUMBER('Total GW EIA'!E54),'Total GW EIA'!E54&gt;0),('Total GW EIA'!E55 - 'Total GW EIA'!E54)/'Total GW EIA'!$P55,0)</f>
        <v>3.9875477454187312E-2</v>
      </c>
      <c r="F45">
        <f>IF(AND(ISNUMBER('Total GW EIA'!F55),ISNUMBER('Total GW EIA'!F54),'Total GW EIA'!F54&gt;0),('Total GW EIA'!F55 - 'Total GW EIA'!F54)/'Total GW EIA'!$P55,0)</f>
        <v>4.8019041364815978E-3</v>
      </c>
      <c r="G45">
        <f>IF(AND(ISNUMBER('Total GW EIA'!G55),ISNUMBER('Total GW EIA'!G54),'Total GW EIA'!G54&gt;0),('Total GW EIA'!G55 - 'Total GW EIA'!G54)/'Total GW EIA'!$P55,0)</f>
        <v>0</v>
      </c>
      <c r="H45">
        <f>IF(AND(ISNUMBER('Total GW EIA'!H55),ISNUMBER('Total GW EIA'!H54),'Total GW EIA'!H54&gt;0),('Total GW EIA'!H55 - 'Total GW EIA'!H54)/'Total GW EIA'!$P55,0)</f>
        <v>-2.2428743815781988E-2</v>
      </c>
      <c r="I45">
        <f>IF(AND(ISNUMBER('Total GW EIA'!I55),ISNUMBER('Total GW EIA'!I54),'Total GW EIA'!I54&gt;0),('Total GW EIA'!I55 - 'Total GW EIA'!I54)/'Total GW EIA'!$P55,0)</f>
        <v>6.9285408501282217E-3</v>
      </c>
      <c r="J45">
        <f>IF(AND(ISNUMBER('Total GW EIA'!J55),ISNUMBER('Total GW EIA'!J54),'Total GW EIA'!J54&gt;0),('Total GW EIA'!J55 - 'Total GW EIA'!J54)/'Total GW EIA'!$P55,0)</f>
        <v>2.5644329361302416E-3</v>
      </c>
      <c r="K45">
        <f>IF(AND(ISNUMBER('Total GW EIA'!K55),ISNUMBER('Total GW EIA'!K54),'Total GW EIA'!K54&gt;0),('Total GW EIA'!K55 - 'Total GW EIA'!K54)/'Total GW EIA'!$P55,0)</f>
        <v>1.2607422862660829E-3</v>
      </c>
      <c r="L45">
        <f>IF(AND(ISNUMBER('Total GW EIA'!L55),ISNUMBER('Total GW EIA'!L54),'Total GW EIA'!L54&gt;0),('Total GW EIA'!L55 - 'Total GW EIA'!L54)/'Total GW EIA'!$P55,0)</f>
        <v>0</v>
      </c>
      <c r="M45">
        <f>IF(AND(ISNUMBER('Total GW EIA'!M55),ISNUMBER('Total GW EIA'!M54),'Total GW EIA'!M54&gt;0),('Total GW EIA'!M55 - 'Total GW EIA'!M54)/'Total GW EIA'!$P55,0)</f>
        <v>2.1072406784733103E-3</v>
      </c>
      <c r="N45">
        <f>IF(AND(ISNUMBER('Total GW EIA'!N55),ISNUMBER('Total GW EIA'!N54),'Total GW EIA'!N54&gt;0),('Total GW EIA'!N55 - 'Total GW EIA'!N54)/'Total GW EIA'!$P55,0)</f>
        <v>-9.3045551588604464E-3</v>
      </c>
      <c r="O45">
        <f>IF(AND(ISNUMBER('Total GW EIA'!O55),ISNUMBER('Total GW EIA'!O54),'Total GW EIA'!O54&gt;0),('Total GW EIA'!O55 - 'Total GW EIA'!O54)/'Total GW EIA'!$P55,0)</f>
        <v>0</v>
      </c>
      <c r="P45">
        <f>IF(AND(ISNUMBER('Total GW EIA'!P55),ISNUMBER('Total GW EIA'!P54),'Total GW EIA'!P54&gt;0),('Total GW EIA'!P55 - 'Total GW EIA'!P54)/'Total GW EIA'!$P55,0)</f>
        <v>6.1093354502720264E-2</v>
      </c>
    </row>
    <row r="46" spans="1:16" x14ac:dyDescent="0.85">
      <c r="A46" s="271">
        <v>1990</v>
      </c>
      <c r="B46">
        <f>IF(AND(ISNUMBER('Total GW EIA'!B56),ISNUMBER('Total GW EIA'!B55),'Total GW EIA'!B55&gt;0),('Total GW EIA'!B56 - 'Total GW EIA'!B55)/'Total GW EIA'!$P56,0)</f>
        <v>5.7933150075872757E-3</v>
      </c>
      <c r="C46">
        <f>IF(AND(ISNUMBER('Total GW EIA'!C56),ISNUMBER('Total GW EIA'!C55),'Total GW EIA'!C55&gt;0),('Total GW EIA'!C56 - 'Total GW EIA'!C55)/'Total GW EIA'!$P56,0)</f>
        <v>-1.5528754076297954E-3</v>
      </c>
      <c r="D46">
        <f>IF(AND(ISNUMBER('Total GW EIA'!D56),ISNUMBER('Total GW EIA'!D55),'Total GW EIA'!D55&gt;0),('Total GW EIA'!D56 - 'Total GW EIA'!D55)/'Total GW EIA'!$P56,0)</f>
        <v>7.0437883621523294E-3</v>
      </c>
      <c r="E46">
        <f>IF(AND(ISNUMBER('Total GW EIA'!E56),ISNUMBER('Total GW EIA'!E55),'Total GW EIA'!E55&gt;0),('Total GW EIA'!E56 - 'Total GW EIA'!E55)/'Total GW EIA'!$P56,0)</f>
        <v>1.1414996417489186E-2</v>
      </c>
      <c r="F46">
        <f>IF(AND(ISNUMBER('Total GW EIA'!F56),ISNUMBER('Total GW EIA'!F55),'Total GW EIA'!F55&gt;0),('Total GW EIA'!F56 - 'Total GW EIA'!F55)/'Total GW EIA'!$P56,0)</f>
        <v>1.9928567731248947E-3</v>
      </c>
      <c r="G46">
        <f>IF(AND(ISNUMBER('Total GW EIA'!G56),ISNUMBER('Total GW EIA'!G55),'Total GW EIA'!G55&gt;0),('Total GW EIA'!G56 - 'Total GW EIA'!G55)/'Total GW EIA'!$P56,0)</f>
        <v>1.8634504891557515E-3</v>
      </c>
      <c r="H46">
        <f>IF(AND(ISNUMBER('Total GW EIA'!H56),ISNUMBER('Total GW EIA'!H55),'Total GW EIA'!H55&gt;0),('Total GW EIA'!H56 - 'Total GW EIA'!H55)/'Total GW EIA'!$P56,0)</f>
        <v>-2.5608822511789922E-4</v>
      </c>
      <c r="I46">
        <f>IF(AND(ISNUMBER('Total GW EIA'!I56),ISNUMBER('Total GW EIA'!I55),'Total GW EIA'!I55&gt;0),('Total GW EIA'!I56 - 'Total GW EIA'!I55)/'Total GW EIA'!$P56,0)</f>
        <v>4.454300511359147E-4</v>
      </c>
      <c r="J46">
        <f>IF(AND(ISNUMBER('Total GW EIA'!J56),ISNUMBER('Total GW EIA'!J55),'Total GW EIA'!J55&gt;0),('Total GW EIA'!J56 - 'Total GW EIA'!J55)/'Total GW EIA'!$P56,0)</f>
        <v>6.2659884869272408E-4</v>
      </c>
      <c r="K46">
        <f>IF(AND(ISNUMBER('Total GW EIA'!K56),ISNUMBER('Total GW EIA'!K55),'Total GW EIA'!K55&gt;0),('Total GW EIA'!K56 - 'Total GW EIA'!K55)/'Total GW EIA'!$P56,0)</f>
        <v>1.2123325550794006E-4</v>
      </c>
      <c r="L46">
        <f>IF(AND(ISNUMBER('Total GW EIA'!L56),ISNUMBER('Total GW EIA'!L55),'Total GW EIA'!L55&gt;0),('Total GW EIA'!L56 - 'Total GW EIA'!L55)/'Total GW EIA'!$P56,0)</f>
        <v>1.689092548649952E-4</v>
      </c>
      <c r="M46">
        <f>IF(AND(ISNUMBER('Total GW EIA'!M56),ISNUMBER('Total GW EIA'!M55),'Total GW EIA'!M55&gt;0),('Total GW EIA'!M56 - 'Total GW EIA'!M55)/'Total GW EIA'!$P56,0)</f>
        <v>3.6914845216462646E-4</v>
      </c>
      <c r="N46">
        <f>IF(AND(ISNUMBER('Total GW EIA'!N56),ISNUMBER('Total GW EIA'!N55),'Total GW EIA'!N55&gt;0),('Total GW EIA'!N56 - 'Total GW EIA'!N55)/'Total GW EIA'!$P56,0)</f>
        <v>1.4765938086585108E-3</v>
      </c>
      <c r="O46">
        <f>IF(AND(ISNUMBER('Total GW EIA'!O56),ISNUMBER('Total GW EIA'!O55),'Total GW EIA'!O55&gt;0),('Total GW EIA'!O56 - 'Total GW EIA'!O55)/'Total GW EIA'!$P56,0)</f>
        <v>0</v>
      </c>
      <c r="P46">
        <f>IF(AND(ISNUMBER('Total GW EIA'!P56),ISNUMBER('Total GW EIA'!P55),'Total GW EIA'!P55&gt;0),('Total GW EIA'!P56 - 'Total GW EIA'!P55)/'Total GW EIA'!$P56,0)</f>
        <v>1.6788762630734311E-2</v>
      </c>
    </row>
    <row r="47" spans="1:16" x14ac:dyDescent="0.85">
      <c r="A47" s="271">
        <v>1991</v>
      </c>
      <c r="B47">
        <f>IF(AND(ISNUMBER('Total GW EIA'!B57),ISNUMBER('Total GW EIA'!B56),'Total GW EIA'!B56&gt;0),('Total GW EIA'!B57 - 'Total GW EIA'!B56)/'Total GW EIA'!$P57,0)</f>
        <v>1.0407233703217887E-4</v>
      </c>
      <c r="C47">
        <f>IF(AND(ISNUMBER('Total GW EIA'!C57),ISNUMBER('Total GW EIA'!C56),'Total GW EIA'!C56&gt;0),('Total GW EIA'!C57 - 'Total GW EIA'!C56)/'Total GW EIA'!$P57,0)</f>
        <v>-4.9643856353143142E-3</v>
      </c>
      <c r="D47">
        <f>IF(AND(ISNUMBER('Total GW EIA'!D57),ISNUMBER('Total GW EIA'!D56),'Total GW EIA'!D56&gt;0),('Total GW EIA'!D57 - 'Total GW EIA'!D56)/'Total GW EIA'!$P57,0)</f>
        <v>9.1380918269426039E-3</v>
      </c>
      <c r="E47">
        <f>IF(AND(ISNUMBER('Total GW EIA'!E57),ISNUMBER('Total GW EIA'!E56),'Total GW EIA'!E56&gt;0),('Total GW EIA'!E57 - 'Total GW EIA'!E56)/'Total GW EIA'!$P57,0)</f>
        <v>4.900860962060871E-3</v>
      </c>
      <c r="F47">
        <f>IF(AND(ISNUMBER('Total GW EIA'!F57),ISNUMBER('Total GW EIA'!F56),'Total GW EIA'!F56&gt;0),('Total GW EIA'!F57 - 'Total GW EIA'!F56)/'Total GW EIA'!$P57,0)</f>
        <v>-4.7305607741895995E-5</v>
      </c>
      <c r="G47">
        <f>IF(AND(ISNUMBER('Total GW EIA'!G57),ISNUMBER('Total GW EIA'!G56),'Total GW EIA'!G56&gt;0),('Total GW EIA'!G57 - 'Total GW EIA'!G56)/'Total GW EIA'!$P57,0)</f>
        <v>-1.4164650546717643E-3</v>
      </c>
      <c r="H47">
        <f>IF(AND(ISNUMBER('Total GW EIA'!H57),ISNUMBER('Total GW EIA'!H56),'Total GW EIA'!H56&gt;0),('Total GW EIA'!H57 - 'Total GW EIA'!H56)/'Total GW EIA'!$P57,0)</f>
        <v>2.8559071188181701E-3</v>
      </c>
      <c r="I47">
        <f>IF(AND(ISNUMBER('Total GW EIA'!I57),ISNUMBER('Total GW EIA'!I56),'Total GW EIA'!I56&gt;0),('Total GW EIA'!I57 - 'Total GW EIA'!I56)/'Total GW EIA'!$P57,0)</f>
        <v>7.947342100639291E-4</v>
      </c>
      <c r="J47">
        <f>IF(AND(ISNUMBER('Total GW EIA'!J57),ISNUMBER('Total GW EIA'!J56),'Total GW EIA'!J56&gt;0),('Total GW EIA'!J57 - 'Total GW EIA'!J56)/'Total GW EIA'!$P57,0)</f>
        <v>5.6361252652492979E-4</v>
      </c>
      <c r="K47">
        <f>IF(AND(ISNUMBER('Total GW EIA'!K57),ISNUMBER('Total GW EIA'!K56),'Total GW EIA'!K56&gt;0),('Total GW EIA'!K57 - 'Total GW EIA'!K56)/'Total GW EIA'!$P57,0)</f>
        <v>-5.9469906875532239E-5</v>
      </c>
      <c r="L47">
        <f>IF(AND(ISNUMBER('Total GW EIA'!L57),ISNUMBER('Total GW EIA'!L56),'Total GW EIA'!L56&gt;0),('Total GW EIA'!L57 - 'Total GW EIA'!L56)/'Total GW EIA'!$P57,0)</f>
        <v>1.2164299133631594E-5</v>
      </c>
      <c r="M47">
        <f>IF(AND(ISNUMBER('Total GW EIA'!M57),ISNUMBER('Total GW EIA'!M56),'Total GW EIA'!M56&gt;0),('Total GW EIA'!M57 - 'Total GW EIA'!M56)/'Total GW EIA'!$P57,0)</f>
        <v>1.1623663616581301E-4</v>
      </c>
      <c r="N47">
        <f>IF(AND(ISNUMBER('Total GW EIA'!N57),ISNUMBER('Total GW EIA'!N56),'Total GW EIA'!N56&gt;0),('Total GW EIA'!N57 - 'Total GW EIA'!N56)/'Total GW EIA'!$P57,0)</f>
        <v>4.2818332950383068E-3</v>
      </c>
      <c r="O47">
        <f>IF(AND(ISNUMBER('Total GW EIA'!O57),ISNUMBER('Total GW EIA'!O56),'Total GW EIA'!O56&gt;0),('Total GW EIA'!O57 - 'Total GW EIA'!O56)/'Total GW EIA'!$P57,0)</f>
        <v>0</v>
      </c>
      <c r="P47">
        <f>IF(AND(ISNUMBER('Total GW EIA'!P57),ISNUMBER('Total GW EIA'!P56),'Total GW EIA'!P56&gt;0),('Total GW EIA'!P57 - 'Total GW EIA'!P56)/'Total GW EIA'!$P57,0)</f>
        <v>7.7689323800127687E-3</v>
      </c>
    </row>
    <row r="48" spans="1:16" x14ac:dyDescent="0.85">
      <c r="A48" s="271">
        <v>1992</v>
      </c>
      <c r="B48">
        <f>IF(AND(ISNUMBER('Total GW EIA'!B58),ISNUMBER('Total GW EIA'!B57),'Total GW EIA'!B57&gt;0),('Total GW EIA'!B58 - 'Total GW EIA'!B57)/'Total GW EIA'!$P58,0)</f>
        <v>2.5907325718312435E-3</v>
      </c>
      <c r="C48">
        <f>IF(AND(ISNUMBER('Total GW EIA'!C58),ISNUMBER('Total GW EIA'!C57),'Total GW EIA'!C57&gt;0),('Total GW EIA'!C58 - 'Total GW EIA'!C57)/'Total GW EIA'!$P58,0)</f>
        <v>-1.5190748378782789E-3</v>
      </c>
      <c r="D48">
        <f>IF(AND(ISNUMBER('Total GW EIA'!D58),ISNUMBER('Total GW EIA'!D57),'Total GW EIA'!D57&gt;0),('Total GW EIA'!D58 - 'Total GW EIA'!D57)/'Total GW EIA'!$P58,0)</f>
        <v>6.117826088703762E-3</v>
      </c>
      <c r="E48">
        <f>IF(AND(ISNUMBER('Total GW EIA'!E58),ISNUMBER('Total GW EIA'!E57),'Total GW EIA'!E57&gt;0),('Total GW EIA'!E58 - 'Total GW EIA'!E57)/'Total GW EIA'!$P58,0)</f>
        <v>7.1466175132984993E-3</v>
      </c>
      <c r="F48">
        <f>IF(AND(ISNUMBER('Total GW EIA'!F58),ISNUMBER('Total GW EIA'!F57),'Total GW EIA'!F57&gt;0),('Total GW EIA'!F58 - 'Total GW EIA'!F57)/'Total GW EIA'!$P58,0)</f>
        <v>-8.0910158913446127E-4</v>
      </c>
      <c r="G48">
        <f>IF(AND(ISNUMBER('Total GW EIA'!G58),ISNUMBER('Total GW EIA'!G57),'Total GW EIA'!G57&gt;0),('Total GW EIA'!G58 - 'Total GW EIA'!G57)/'Total GW EIA'!$P58,0)</f>
        <v>3.7186523368166677E-3</v>
      </c>
      <c r="H48">
        <f>IF(AND(ISNUMBER('Total GW EIA'!H58),ISNUMBER('Total GW EIA'!H57),'Total GW EIA'!H57&gt;0),('Total GW EIA'!H58 - 'Total GW EIA'!H57)/'Total GW EIA'!$P58,0)</f>
        <v>-1.6918796474781955E-3</v>
      </c>
      <c r="I48">
        <f>IF(AND(ISNUMBER('Total GW EIA'!I58),ISNUMBER('Total GW EIA'!I57),'Total GW EIA'!I57&gt;0),('Total GW EIA'!I58 - 'Total GW EIA'!I57)/'Total GW EIA'!$P58,0)</f>
        <v>1.0180748472552905E-4</v>
      </c>
      <c r="J48">
        <f>IF(AND(ISNUMBER('Total GW EIA'!J58),ISNUMBER('Total GW EIA'!J57),'Total GW EIA'!J57&gt;0),('Total GW EIA'!J58 - 'Total GW EIA'!J57)/'Total GW EIA'!$P58,0)</f>
        <v>1.3663636107899842E-4</v>
      </c>
      <c r="K48">
        <f>IF(AND(ISNUMBER('Total GW EIA'!K58),ISNUMBER('Total GW EIA'!K57),'Total GW EIA'!K57&gt;0),('Total GW EIA'!K58 - 'Total GW EIA'!K57)/'Total GW EIA'!$P58,0)</f>
        <v>3.4159090269749636E-4</v>
      </c>
      <c r="L48">
        <f>IF(AND(ISNUMBER('Total GW EIA'!L58),ISNUMBER('Total GW EIA'!L57),'Total GW EIA'!L57&gt;0),('Total GW EIA'!L58 - 'Total GW EIA'!L57)/'Total GW EIA'!$P58,0)</f>
        <v>2.1433154679058624E-5</v>
      </c>
      <c r="M48">
        <f>IF(AND(ISNUMBER('Total GW EIA'!M58),ISNUMBER('Total GW EIA'!M57),'Total GW EIA'!M57&gt;0),('Total GW EIA'!M58 - 'Total GW EIA'!M57)/'Total GW EIA'!$P58,0)</f>
        <v>-8.3053474381352159E-5</v>
      </c>
      <c r="N48">
        <f>IF(AND(ISNUMBER('Total GW EIA'!N58),ISNUMBER('Total GW EIA'!N57),'Total GW EIA'!N57&gt;0),('Total GW EIA'!N58 - 'Total GW EIA'!N57)/'Total GW EIA'!$P58,0)</f>
        <v>-1.176144363013341E-3</v>
      </c>
      <c r="O48">
        <f>IF(AND(ISNUMBER('Total GW EIA'!O58),ISNUMBER('Total GW EIA'!O57),'Total GW EIA'!O57&gt;0),('Total GW EIA'!O58 - 'Total GW EIA'!O57)/'Total GW EIA'!$P58,0)</f>
        <v>0</v>
      </c>
      <c r="P48">
        <f>IF(AND(ISNUMBER('Total GW EIA'!P58),ISNUMBER('Total GW EIA'!P57),'Total GW EIA'!P57&gt;0),('Total GW EIA'!P58 - 'Total GW EIA'!P57)/'Total GW EIA'!$P58,0)</f>
        <v>8.8907404753069217E-3</v>
      </c>
    </row>
    <row r="49" spans="1:16" x14ac:dyDescent="0.85">
      <c r="A49" s="271">
        <v>1993</v>
      </c>
      <c r="B49">
        <f>IF(AND(ISNUMBER('Total GW EIA'!B59),ISNUMBER('Total GW EIA'!B58),'Total GW EIA'!B58&gt;0),('Total GW EIA'!B59 - 'Total GW EIA'!B58)/'Total GW EIA'!$P59,0)</f>
        <v>1.0283839264652623E-3</v>
      </c>
      <c r="C49">
        <f>IF(AND(ISNUMBER('Total GW EIA'!C59),ISNUMBER('Total GW EIA'!C58),'Total GW EIA'!C58&gt;0),('Total GW EIA'!C59 - 'Total GW EIA'!C58)/'Total GW EIA'!$P59,0)</f>
        <v>-2.6663768815052579E-3</v>
      </c>
      <c r="D49">
        <f>IF(AND(ISNUMBER('Total GW EIA'!D59),ISNUMBER('Total GW EIA'!D58),'Total GW EIA'!D58&gt;0),('Total GW EIA'!D59 - 'Total GW EIA'!D58)/'Total GW EIA'!$P59,0)</f>
        <v>8.5093468966925007E-3</v>
      </c>
      <c r="E49">
        <f>IF(AND(ISNUMBER('Total GW EIA'!E59),ISNUMBER('Total GW EIA'!E58),'Total GW EIA'!E58&gt;0),('Total GW EIA'!E59 - 'Total GW EIA'!E58)/'Total GW EIA'!$P59,0)</f>
        <v>6.687145996061461E-3</v>
      </c>
      <c r="F49">
        <f>IF(AND(ISNUMBER('Total GW EIA'!F59),ISNUMBER('Total GW EIA'!F58),'Total GW EIA'!F58&gt;0),('Total GW EIA'!F59 - 'Total GW EIA'!F58)/'Total GW EIA'!$P59,0)</f>
        <v>7.4213273043880436E-5</v>
      </c>
      <c r="G49">
        <f>IF(AND(ISNUMBER('Total GW EIA'!G59),ISNUMBER('Total GW EIA'!G58),'Total GW EIA'!G58&gt;0),('Total GW EIA'!G59 - 'Total GW EIA'!G58)/'Total GW EIA'!$P59,0)</f>
        <v>-5.8310428820195135E-5</v>
      </c>
      <c r="H49">
        <f>IF(AND(ISNUMBER('Total GW EIA'!H59),ISNUMBER('Total GW EIA'!H58),'Total GW EIA'!H58&gt;0),('Total GW EIA'!H59 - 'Total GW EIA'!H58)/'Total GW EIA'!$P59,0)</f>
        <v>3.4946500181557479E-3</v>
      </c>
      <c r="I49">
        <f>IF(AND(ISNUMBER('Total GW EIA'!I59),ISNUMBER('Total GW EIA'!I58),'Total GW EIA'!I58&gt;0),('Total GW EIA'!I59 - 'Total GW EIA'!I58)/'Total GW EIA'!$P59,0)</f>
        <v>3.1805688447378842E-4</v>
      </c>
      <c r="J49">
        <f>IF(AND(ISNUMBER('Total GW EIA'!J59),ISNUMBER('Total GW EIA'!J58),'Total GW EIA'!J58&gt;0),('Total GW EIA'!J59 - 'Total GW EIA'!J58)/'Total GW EIA'!$P59,0)</f>
        <v>1.2192180571495222E-4</v>
      </c>
      <c r="K49">
        <f>IF(AND(ISNUMBER('Total GW EIA'!K59),ISNUMBER('Total GW EIA'!K58),'Total GW EIA'!K58&gt;0),('Total GW EIA'!K59 - 'Total GW EIA'!K58)/'Total GW EIA'!$P59,0)</f>
        <v>9.0116117267573381E-5</v>
      </c>
      <c r="L49">
        <f>IF(AND(ISNUMBER('Total GW EIA'!L59),ISNUMBER('Total GW EIA'!L58),'Total GW EIA'!L58&gt;0),('Total GW EIA'!L59 - 'Total GW EIA'!L58)/'Total GW EIA'!$P59,0)</f>
        <v>1.3252370186407851E-6</v>
      </c>
      <c r="M49">
        <f>IF(AND(ISNUMBER('Total GW EIA'!M59),ISNUMBER('Total GW EIA'!M58),'Total GW EIA'!M58&gt;0),('Total GW EIA'!M59 - 'Total GW EIA'!M58)/'Total GW EIA'!$P59,0)</f>
        <v>-3.5781399503301048E-5</v>
      </c>
      <c r="N49">
        <f>IF(AND(ISNUMBER('Total GW EIA'!N59),ISNUMBER('Total GW EIA'!N58),'Total GW EIA'!N58&gt;0),('Total GW EIA'!N59 - 'Total GW EIA'!N58)/'Total GW EIA'!$P59,0)</f>
        <v>3.9929391371646885E-3</v>
      </c>
      <c r="O49">
        <f>IF(AND(ISNUMBER('Total GW EIA'!O59),ISNUMBER('Total GW EIA'!O58),'Total GW EIA'!O58&gt;0),('Total GW EIA'!O59 - 'Total GW EIA'!O58)/'Total GW EIA'!$P59,0)</f>
        <v>0</v>
      </c>
      <c r="P49">
        <f>IF(AND(ISNUMBER('Total GW EIA'!P59),ISNUMBER('Total GW EIA'!P58),'Total GW EIA'!P58&gt;0),('Total GW EIA'!P59 - 'Total GW EIA'!P58)/'Total GW EIA'!$P59,0)</f>
        <v>1.070128892552439E-2</v>
      </c>
    </row>
    <row r="50" spans="1:16" x14ac:dyDescent="0.85">
      <c r="A50" s="271">
        <v>1994</v>
      </c>
      <c r="B50">
        <f>IF(AND(ISNUMBER('Total GW EIA'!B60),ISNUMBER('Total GW EIA'!B59),'Total GW EIA'!B59&gt;0),('Total GW EIA'!B60 - 'Total GW EIA'!B59)/'Total GW EIA'!$P60,0)</f>
        <v>1.6584485979106373E-3</v>
      </c>
      <c r="C50">
        <f>IF(AND(ISNUMBER('Total GW EIA'!C60),ISNUMBER('Total GW EIA'!C59),'Total GW EIA'!C59&gt;0),('Total GW EIA'!C60 - 'Total GW EIA'!C59)/'Total GW EIA'!$P60,0)</f>
        <v>7.9584589386713026E-4</v>
      </c>
      <c r="D50">
        <f>IF(AND(ISNUMBER('Total GW EIA'!D60),ISNUMBER('Total GW EIA'!D59),'Total GW EIA'!D59&gt;0),('Total GW EIA'!D60 - 'Total GW EIA'!D59)/'Total GW EIA'!$P60,0)</f>
        <v>8.0919725590241302E-3</v>
      </c>
      <c r="E50">
        <f>IF(AND(ISNUMBER('Total GW EIA'!E60),ISNUMBER('Total GW EIA'!E59),'Total GW EIA'!E59&gt;0),('Total GW EIA'!E60 - 'Total GW EIA'!E59)/'Total GW EIA'!$P60,0)</f>
        <v>1.0758318094891601E-2</v>
      </c>
      <c r="F50">
        <f>IF(AND(ISNUMBER('Total GW EIA'!F60),ISNUMBER('Total GW EIA'!F59),'Total GW EIA'!F59&gt;0),('Total GW EIA'!F60 - 'Total GW EIA'!F59)/'Total GW EIA'!$P60,0)</f>
        <v>1.4005840566411811E-4</v>
      </c>
      <c r="G50">
        <f>IF(AND(ISNUMBER('Total GW EIA'!G60),ISNUMBER('Total GW EIA'!G59),'Total GW EIA'!G59&gt;0),('Total GW EIA'!G60 - 'Total GW EIA'!G59)/'Total GW EIA'!$P60,0)</f>
        <v>8.1155337861449001E-5</v>
      </c>
      <c r="H50">
        <f>IF(AND(ISNUMBER('Total GW EIA'!H60),ISNUMBER('Total GW EIA'!H59),'Total GW EIA'!H59&gt;0),('Total GW EIA'!H60 - 'Total GW EIA'!H59)/'Total GW EIA'!$P60,0)</f>
        <v>8.2595190629961793E-4</v>
      </c>
      <c r="I50">
        <f>IF(AND(ISNUMBER('Total GW EIA'!I60),ISNUMBER('Total GW EIA'!I59),'Total GW EIA'!I59&gt;0),('Total GW EIA'!I60 - 'Total GW EIA'!I59)/'Total GW EIA'!$P60,0)</f>
        <v>3.0106012432474117E-4</v>
      </c>
      <c r="J50">
        <f>IF(AND(ISNUMBER('Total GW EIA'!J60),ISNUMBER('Total GW EIA'!J59),'Total GW EIA'!J59&gt;0),('Total GW EIA'!J60 - 'Total GW EIA'!J59)/'Total GW EIA'!$P60,0)</f>
        <v>2.1728687233872658E-4</v>
      </c>
      <c r="K50">
        <f>IF(AND(ISNUMBER('Total GW EIA'!K60),ISNUMBER('Total GW EIA'!K59),'Total GW EIA'!K59&gt;0),('Total GW EIA'!K60 - 'Total GW EIA'!K59)/'Total GW EIA'!$P60,0)</f>
        <v>3.5341840681600301E-5</v>
      </c>
      <c r="L50">
        <f>IF(AND(ISNUMBER('Total GW EIA'!L60),ISNUMBER('Total GW EIA'!L59),'Total GW EIA'!L59&gt;0),('Total GW EIA'!L60 - 'Total GW EIA'!L59)/'Total GW EIA'!$P60,0)</f>
        <v>-9.1626994359704094E-6</v>
      </c>
      <c r="M50">
        <f>IF(AND(ISNUMBER('Total GW EIA'!M60),ISNUMBER('Total GW EIA'!M59),'Total GW EIA'!M59&gt;0),('Total GW EIA'!M60 - 'Total GW EIA'!M59)/'Total GW EIA'!$P60,0)</f>
        <v>-6.67568101763557E-5</v>
      </c>
      <c r="N50">
        <f>IF(AND(ISNUMBER('Total GW EIA'!N60),ISNUMBER('Total GW EIA'!N59),'Total GW EIA'!N59&gt;0),('Total GW EIA'!N60 - 'Total GW EIA'!N59)/'Total GW EIA'!$P60,0)</f>
        <v>1.3037212340323537E-3</v>
      </c>
      <c r="O50">
        <f>IF(AND(ISNUMBER('Total GW EIA'!O60),ISNUMBER('Total GW EIA'!O59),'Total GW EIA'!O59&gt;0),('Total GW EIA'!O60 - 'Total GW EIA'!O59)/'Total GW EIA'!$P60,0)</f>
        <v>0</v>
      </c>
      <c r="P50">
        <f>IF(AND(ISNUMBER('Total GW EIA'!P60),ISNUMBER('Total GW EIA'!P59),'Total GW EIA'!P59&gt;0),('Total GW EIA'!P60 - 'Total GW EIA'!P59)/'Total GW EIA'!$P60,0)</f>
        <v>1.2284562029511734E-2</v>
      </c>
    </row>
    <row r="51" spans="1:16" x14ac:dyDescent="0.85">
      <c r="A51" s="271">
        <v>1995</v>
      </c>
      <c r="B51">
        <f>IF(AND(ISNUMBER('Total GW EIA'!B61),ISNUMBER('Total GW EIA'!B60),'Total GW EIA'!B60&gt;0),('Total GW EIA'!B61 - 'Total GW EIA'!B60)/'Total GW EIA'!$P61,0)</f>
        <v>-3.7688621805072318E-5</v>
      </c>
      <c r="C51">
        <f>IF(AND(ISNUMBER('Total GW EIA'!C61),ISNUMBER('Total GW EIA'!C60),'Total GW EIA'!C60&gt;0),('Total GW EIA'!C61 - 'Total GW EIA'!C60)/'Total GW EIA'!$P61,0)</f>
        <v>-6.6124037153183378E-3</v>
      </c>
      <c r="D51">
        <f>IF(AND(ISNUMBER('Total GW EIA'!D61),ISNUMBER('Total GW EIA'!D60),'Total GW EIA'!D60&gt;0),('Total GW EIA'!D61 - 'Total GW EIA'!D60)/'Total GW EIA'!$P61,0)</f>
        <v>1.2608793405270947E-2</v>
      </c>
      <c r="E51">
        <f>IF(AND(ISNUMBER('Total GW EIA'!E61),ISNUMBER('Total GW EIA'!E60),'Total GW EIA'!E60&gt;0),('Total GW EIA'!E61 - 'Total GW EIA'!E60)/'Total GW EIA'!$P61,0)</f>
        <v>5.3959709563681816E-3</v>
      </c>
      <c r="F51">
        <f>IF(AND(ISNUMBER('Total GW EIA'!F61),ISNUMBER('Total GW EIA'!F60),'Total GW EIA'!F60&gt;0),('Total GW EIA'!F61 - 'Total GW EIA'!F60)/'Total GW EIA'!$P61,0)</f>
        <v>4.7695600698149807E-4</v>
      </c>
      <c r="G51">
        <f>IF(AND(ISNUMBER('Total GW EIA'!G61),ISNUMBER('Total GW EIA'!G60),'Total GW EIA'!G60&gt;0),('Total GW EIA'!G61 - 'Total GW EIA'!G60)/'Total GW EIA'!$P61,0)</f>
        <v>2.3262976907271961E-4</v>
      </c>
      <c r="H51">
        <f>IF(AND(ISNUMBER('Total GW EIA'!H61),ISNUMBER('Total GW EIA'!H60),'Total GW EIA'!H60&gt;0),('Total GW EIA'!H61 - 'Total GW EIA'!H60)/'Total GW EIA'!$P61,0)</f>
        <v>6.7709558484293695E-4</v>
      </c>
      <c r="I51">
        <f>IF(AND(ISNUMBER('Total GW EIA'!I61),ISNUMBER('Total GW EIA'!I60),'Total GW EIA'!I60&gt;0),('Total GW EIA'!I61 - 'Total GW EIA'!I60)/'Total GW EIA'!$P61,0)</f>
        <v>8.7073712446212714E-5</v>
      </c>
      <c r="J51">
        <f>IF(AND(ISNUMBER('Total GW EIA'!J61),ISNUMBER('Total GW EIA'!J60),'Total GW EIA'!J60&gt;0),('Total GW EIA'!J61 - 'Total GW EIA'!J60)/'Total GW EIA'!$P61,0)</f>
        <v>3.0020936679216588E-4</v>
      </c>
      <c r="K51">
        <f>IF(AND(ISNUMBER('Total GW EIA'!K61),ISNUMBER('Total GW EIA'!K60),'Total GW EIA'!K60&gt;0),('Total GW EIA'!K61 - 'Total GW EIA'!K60)/'Total GW EIA'!$P61,0)</f>
        <v>-5.1984305938037356E-6</v>
      </c>
      <c r="L51">
        <f>IF(AND(ISNUMBER('Total GW EIA'!L61),ISNUMBER('Total GW EIA'!L60),'Total GW EIA'!L60&gt;0),('Total GW EIA'!L61 - 'Total GW EIA'!L60)/'Total GW EIA'!$P61,0)</f>
        <v>0</v>
      </c>
      <c r="M51">
        <f>IF(AND(ISNUMBER('Total GW EIA'!M61),ISNUMBER('Total GW EIA'!M60),'Total GW EIA'!M60&gt;0),('Total GW EIA'!M61 - 'Total GW EIA'!M60)/'Total GW EIA'!$P61,0)</f>
        <v>-1.8194507078313074E-5</v>
      </c>
      <c r="N51">
        <f>IF(AND(ISNUMBER('Total GW EIA'!N61),ISNUMBER('Total GW EIA'!N60),'Total GW EIA'!N60&gt;0),('Total GW EIA'!N61 - 'Total GW EIA'!N60)/'Total GW EIA'!$P61,0)</f>
        <v>1.0396861187607425E-3</v>
      </c>
      <c r="O51">
        <f>IF(AND(ISNUMBER('Total GW EIA'!O61),ISNUMBER('Total GW EIA'!O60),'Total GW EIA'!O60&gt;0),('Total GW EIA'!O61 - 'Total GW EIA'!O60)/'Total GW EIA'!$P61,0)</f>
        <v>0</v>
      </c>
      <c r="P51">
        <f>IF(AND(ISNUMBER('Total GW EIA'!P61),ISNUMBER('Total GW EIA'!P60),'Total GW EIA'!P60&gt;0),('Total GW EIA'!P61 - 'Total GW EIA'!P60)/'Total GW EIA'!$P61,0)</f>
        <v>7.1426436358863017E-3</v>
      </c>
    </row>
    <row r="52" spans="1:16" x14ac:dyDescent="0.85">
      <c r="A52" s="271">
        <v>1996</v>
      </c>
      <c r="B52">
        <f>IF(AND(ISNUMBER('Total GW EIA'!B62),ISNUMBER('Total GW EIA'!B61),'Total GW EIA'!B61&gt;0),('Total GW EIA'!B62 - 'Total GW EIA'!B61)/'Total GW EIA'!$P62,0)</f>
        <v>2.572529611156196E-3</v>
      </c>
      <c r="C52">
        <f>IF(AND(ISNUMBER('Total GW EIA'!C62),ISNUMBER('Total GW EIA'!C61),'Total GW EIA'!C61&gt;0),('Total GW EIA'!C62 - 'Total GW EIA'!C61)/'Total GW EIA'!$P62,0)</f>
        <v>7.599015324337214E-3</v>
      </c>
      <c r="D52">
        <f>IF(AND(ISNUMBER('Total GW EIA'!D62),ISNUMBER('Total GW EIA'!D61),'Total GW EIA'!D61&gt;0),('Total GW EIA'!D62 - 'Total GW EIA'!D61)/'Total GW EIA'!$P62,0)</f>
        <v>-4.4722834422406324E-4</v>
      </c>
      <c r="E52">
        <f>IF(AND(ISNUMBER('Total GW EIA'!E62),ISNUMBER('Total GW EIA'!E61),'Total GW EIA'!E61&gt;0),('Total GW EIA'!E62 - 'Total GW EIA'!E61)/'Total GW EIA'!$P62,0)</f>
        <v>9.7294719612315891E-3</v>
      </c>
      <c r="F52">
        <f>IF(AND(ISNUMBER('Total GW EIA'!F62),ISNUMBER('Total GW EIA'!F61),'Total GW EIA'!F61&gt;0),('Total GW EIA'!F62 - 'Total GW EIA'!F61)/'Total GW EIA'!$P62,0)</f>
        <v>1.6355411205196684E-3</v>
      </c>
      <c r="G52">
        <f>IF(AND(ISNUMBER('Total GW EIA'!G62),ISNUMBER('Total GW EIA'!G61),'Total GW EIA'!G61&gt;0),('Total GW EIA'!G62 - 'Total GW EIA'!G61)/'Total GW EIA'!$P62,0)</f>
        <v>-3.5700936988490768E-4</v>
      </c>
      <c r="H52">
        <f>IF(AND(ISNUMBER('Total GW EIA'!H62),ISNUMBER('Total GW EIA'!H61),'Total GW EIA'!H61&gt;0),('Total GW EIA'!H62 - 'Total GW EIA'!H61)/'Total GW EIA'!$P62,0)</f>
        <v>-2.7387902924383613E-3</v>
      </c>
      <c r="I52">
        <f>IF(AND(ISNUMBER('Total GW EIA'!I62),ISNUMBER('Total GW EIA'!I61),'Total GW EIA'!I61&gt;0),('Total GW EIA'!I62 - 'Total GW EIA'!I61)/'Total GW EIA'!$P62,0)</f>
        <v>7.4752864452435055E-5</v>
      </c>
      <c r="J52">
        <f>IF(AND(ISNUMBER('Total GW EIA'!J62),ISNUMBER('Total GW EIA'!J61),'Total GW EIA'!J61&gt;0),('Total GW EIA'!J62 - 'Total GW EIA'!J61)/'Total GW EIA'!$P62,0)</f>
        <v>1.0181855675417874E-4</v>
      </c>
      <c r="K52">
        <f>IF(AND(ISNUMBER('Total GW EIA'!K62),ISNUMBER('Total GW EIA'!K61),'Total GW EIA'!K61&gt;0),('Total GW EIA'!K62 - 'Total GW EIA'!K61)/'Total GW EIA'!$P62,0)</f>
        <v>-9.6663186791942393E-5</v>
      </c>
      <c r="L52">
        <f>IF(AND(ISNUMBER('Total GW EIA'!L62),ISNUMBER('Total GW EIA'!L61),'Total GW EIA'!L61&gt;0),('Total GW EIA'!L62 - 'Total GW EIA'!L61)/'Total GW EIA'!$P62,0)</f>
        <v>0</v>
      </c>
      <c r="M52">
        <f>IF(AND(ISNUMBER('Total GW EIA'!M62),ISNUMBER('Total GW EIA'!M61),'Total GW EIA'!M61&gt;0),('Total GW EIA'!M62 - 'Total GW EIA'!M61)/'Total GW EIA'!$P62,0)</f>
        <v>-6.8308651999639334E-5</v>
      </c>
      <c r="N52">
        <f>IF(AND(ISNUMBER('Total GW EIA'!N62),ISNUMBER('Total GW EIA'!N61),'Total GW EIA'!N61&gt;0),('Total GW EIA'!N62 - 'Total GW EIA'!N61)/'Total GW EIA'!$P62,0)</f>
        <v>-2.7271907100233275E-3</v>
      </c>
      <c r="O52">
        <f>IF(AND(ISNUMBER('Total GW EIA'!O62),ISNUMBER('Total GW EIA'!O61),'Total GW EIA'!O61&gt;0),('Total GW EIA'!O62 - 'Total GW EIA'!O61)/'Total GW EIA'!$P62,0)</f>
        <v>0</v>
      </c>
      <c r="P52">
        <f>IF(AND(ISNUMBER('Total GW EIA'!P62),ISNUMBER('Total GW EIA'!P61),'Total GW EIA'!P61&gt;0),('Total GW EIA'!P62 - 'Total GW EIA'!P61)/'Total GW EIA'!$P62,0)</f>
        <v>8.2833906868241911E-3</v>
      </c>
    </row>
    <row r="53" spans="1:16" x14ac:dyDescent="0.85">
      <c r="A53" s="271">
        <v>1997</v>
      </c>
      <c r="B53">
        <f>IF(AND(ISNUMBER('Total GW EIA'!B63),ISNUMBER('Total GW EIA'!B62),'Total GW EIA'!B62&gt;0),('Total GW EIA'!B63 - 'Total GW EIA'!B62)/'Total GW EIA'!$P63,0)</f>
        <v>3.1079472265426226E-4</v>
      </c>
      <c r="C53">
        <f>IF(AND(ISNUMBER('Total GW EIA'!C63),ISNUMBER('Total GW EIA'!C62),'Total GW EIA'!C62&gt;0),('Total GW EIA'!C63 - 'Total GW EIA'!C62)/'Total GW EIA'!$P63,0)</f>
        <v>-7.0635164239608381E-5</v>
      </c>
      <c r="D53">
        <f>IF(AND(ISNUMBER('Total GW EIA'!D63),ISNUMBER('Total GW EIA'!D62),'Total GW EIA'!D62&gt;0),('Total GW EIA'!D63 - 'Total GW EIA'!D62)/'Total GW EIA'!$P63,0)</f>
        <v>3.0000680666128292E-3</v>
      </c>
      <c r="E53">
        <f>IF(AND(ISNUMBER('Total GW EIA'!E63),ISNUMBER('Total GW EIA'!E62),'Total GW EIA'!E62&gt;0),('Total GW EIA'!E63 - 'Total GW EIA'!E62)/'Total GW EIA'!$P63,0)</f>
        <v>3.0617133008583003E-3</v>
      </c>
      <c r="F53">
        <f>IF(AND(ISNUMBER('Total GW EIA'!F63),ISNUMBER('Total GW EIA'!F62),'Total GW EIA'!F62&gt;0),('Total GW EIA'!F63 - 'Total GW EIA'!F62)/'Total GW EIA'!$P63,0)</f>
        <v>-1.3716064619616953E-3</v>
      </c>
      <c r="G53">
        <f>IF(AND(ISNUMBER('Total GW EIA'!G63),ISNUMBER('Total GW EIA'!G62),'Total GW EIA'!G62&gt;0),('Total GW EIA'!G63 - 'Total GW EIA'!G62)/'Total GW EIA'!$P63,0)</f>
        <v>-2.311696284205079E-3</v>
      </c>
      <c r="H53">
        <f>IF(AND(ISNUMBER('Total GW EIA'!H63),ISNUMBER('Total GW EIA'!H62),'Total GW EIA'!H62&gt;0),('Total GW EIA'!H63 - 'Total GW EIA'!H62)/'Total GW EIA'!$P63,0)</f>
        <v>3.8245730746459682E-3</v>
      </c>
      <c r="I53">
        <f>IF(AND(ISNUMBER('Total GW EIA'!I63),ISNUMBER('Total GW EIA'!I62),'Total GW EIA'!I62&gt;0),('Total GW EIA'!I63 - 'Total GW EIA'!I62)/'Total GW EIA'!$P63,0)</f>
        <v>1.4897598275988351E-4</v>
      </c>
      <c r="J53">
        <f>IF(AND(ISNUMBER('Total GW EIA'!J63),ISNUMBER('Total GW EIA'!J62),'Total GW EIA'!J62&gt;0),('Total GW EIA'!J63 - 'Total GW EIA'!J62)/'Total GW EIA'!$P63,0)</f>
        <v>-1.0274205707578135E-5</v>
      </c>
      <c r="K53">
        <f>IF(AND(ISNUMBER('Total GW EIA'!K63),ISNUMBER('Total GW EIA'!K62),'Total GW EIA'!K62&gt;0),('Total GW EIA'!K63 - 'Total GW EIA'!K62)/'Total GW EIA'!$P63,0)</f>
        <v>0</v>
      </c>
      <c r="L53">
        <f>IF(AND(ISNUMBER('Total GW EIA'!L63),ISNUMBER('Total GW EIA'!L62),'Total GW EIA'!L62&gt;0),('Total GW EIA'!L63 - 'Total GW EIA'!L62)/'Total GW EIA'!$P63,0)</f>
        <v>1.2842757134472669E-6</v>
      </c>
      <c r="M53">
        <f>IF(AND(ISNUMBER('Total GW EIA'!M63),ISNUMBER('Total GW EIA'!M62),'Total GW EIA'!M62&gt;0),('Total GW EIA'!M63 - 'Total GW EIA'!M62)/'Total GW EIA'!$P63,0)</f>
        <v>-8.7330748514413855E-5</v>
      </c>
      <c r="N53">
        <f>IF(AND(ISNUMBER('Total GW EIA'!N63),ISNUMBER('Total GW EIA'!N62),'Total GW EIA'!N62&gt;0),('Total GW EIA'!N63 - 'Total GW EIA'!N62)/'Total GW EIA'!$P63,0)</f>
        <v>3.8785126546107556E-3</v>
      </c>
      <c r="O53">
        <f>IF(AND(ISNUMBER('Total GW EIA'!O63),ISNUMBER('Total GW EIA'!O62),'Total GW EIA'!O62&gt;0),('Total GW EIA'!O63 - 'Total GW EIA'!O62)/'Total GW EIA'!$P63,0)</f>
        <v>0</v>
      </c>
      <c r="P53">
        <f>IF(AND(ISNUMBER('Total GW EIA'!P63),ISNUMBER('Total GW EIA'!P62),'Total GW EIA'!P62&gt;0),('Total GW EIA'!P63 - 'Total GW EIA'!P62)/'Total GW EIA'!$P63,0)</f>
        <v>3.5433166934010249E-3</v>
      </c>
    </row>
    <row r="54" spans="1:16" x14ac:dyDescent="0.85">
      <c r="A54" s="271">
        <v>1998</v>
      </c>
      <c r="B54">
        <f>IF(AND(ISNUMBER('Total GW EIA'!B64),ISNUMBER('Total GW EIA'!B63),'Total GW EIA'!B63&gt;0),('Total GW EIA'!B64 - 'Total GW EIA'!B63)/'Total GW EIA'!$P64,0)</f>
        <v>2.7865564761015761E-3</v>
      </c>
      <c r="C54">
        <f>IF(AND(ISNUMBER('Total GW EIA'!C64),ISNUMBER('Total GW EIA'!C63),'Total GW EIA'!C63&gt;0),('Total GW EIA'!C64 - 'Total GW EIA'!C63)/'Total GW EIA'!$P64,0)</f>
        <v>-7.9665613222867776E-3</v>
      </c>
      <c r="D54">
        <f>IF(AND(ISNUMBER('Total GW EIA'!D64),ISNUMBER('Total GW EIA'!D63),'Total GW EIA'!D63&gt;0),('Total GW EIA'!D64 - 'Total GW EIA'!D63)/'Total GW EIA'!$P64,0)</f>
        <v>4.9196512808879949E-3</v>
      </c>
      <c r="E54">
        <f>IF(AND(ISNUMBER('Total GW EIA'!E64),ISNUMBER('Total GW EIA'!E63),'Total GW EIA'!E63&gt;0),('Total GW EIA'!E64 - 'Total GW EIA'!E63)/'Total GW EIA'!$P64,0)</f>
        <v>-2.6679796047780502E-4</v>
      </c>
      <c r="F54">
        <f>IF(AND(ISNUMBER('Total GW EIA'!F64),ISNUMBER('Total GW EIA'!F63),'Total GW EIA'!F63&gt;0),('Total GW EIA'!F64 - 'Total GW EIA'!F63)/'Total GW EIA'!$P64,0)</f>
        <v>-3.4103739295859611E-3</v>
      </c>
      <c r="G54">
        <f>IF(AND(ISNUMBER('Total GW EIA'!G64),ISNUMBER('Total GW EIA'!G63),'Total GW EIA'!G63&gt;0),('Total GW EIA'!G64 - 'Total GW EIA'!G63)/'Total GW EIA'!$P64,0)</f>
        <v>2.6937571855006214E-4</v>
      </c>
      <c r="H54">
        <f>IF(AND(ISNUMBER('Total GW EIA'!H64),ISNUMBER('Total GW EIA'!H63),'Total GW EIA'!H63&gt;0),('Total GW EIA'!H64 - 'Total GW EIA'!H63)/'Total GW EIA'!$P64,0)</f>
        <v>-3.4026406553693412E-4</v>
      </c>
      <c r="I54">
        <f>IF(AND(ISNUMBER('Total GW EIA'!I64),ISNUMBER('Total GW EIA'!I63),'Total GW EIA'!I63&gt;0),('Total GW EIA'!I64 - 'Total GW EIA'!I63)/'Total GW EIA'!$P64,0)</f>
        <v>-1.5724324240721458E-4</v>
      </c>
      <c r="J54">
        <f>IF(AND(ISNUMBER('Total GW EIA'!J64),ISNUMBER('Total GW EIA'!J63),'Total GW EIA'!J63&gt;0),('Total GW EIA'!J64 - 'Total GW EIA'!J63)/'Total GW EIA'!$P64,0)</f>
        <v>1.3404341975696907E-4</v>
      </c>
      <c r="K54">
        <f>IF(AND(ISNUMBER('Total GW EIA'!K64),ISNUMBER('Total GW EIA'!K63),'Total GW EIA'!K63&gt;0),('Total GW EIA'!K64 - 'Total GW EIA'!K63)/'Total GW EIA'!$P64,0)</f>
        <v>0</v>
      </c>
      <c r="L54">
        <f>IF(AND(ISNUMBER('Total GW EIA'!L64),ISNUMBER('Total GW EIA'!L63),'Total GW EIA'!L63&gt;0),('Total GW EIA'!L64 - 'Total GW EIA'!L63)/'Total GW EIA'!$P64,0)</f>
        <v>1.2888790361247028E-6</v>
      </c>
      <c r="M54">
        <f>IF(AND(ISNUMBER('Total GW EIA'!M64),ISNUMBER('Total GW EIA'!M63),'Total GW EIA'!M63&gt;0),('Total GW EIA'!M64 - 'Total GW EIA'!M63)/'Total GW EIA'!$P64,0)</f>
        <v>1.4177669397371701E-4</v>
      </c>
      <c r="N54">
        <f>IF(AND(ISNUMBER('Total GW EIA'!N64),ISNUMBER('Total GW EIA'!N63),'Total GW EIA'!N63&gt;0),('Total GW EIA'!N64 - 'Total GW EIA'!N63)/'Total GW EIA'!$P64,0)</f>
        <v>-2.2039831517733233E-4</v>
      </c>
      <c r="O54">
        <f>IF(AND(ISNUMBER('Total GW EIA'!O64),ISNUMBER('Total GW EIA'!O63),'Total GW EIA'!O63&gt;0),('Total GW EIA'!O64 - 'Total GW EIA'!O63)/'Total GW EIA'!$P64,0)</f>
        <v>0</v>
      </c>
      <c r="P54">
        <f>IF(AND(ISNUMBER('Total GW EIA'!P64),ISNUMBER('Total GW EIA'!P63),'Total GW EIA'!P63&gt;0),('Total GW EIA'!P64 - 'Total GW EIA'!P63)/'Total GW EIA'!$P64,0)</f>
        <v>-3.5843725994627292E-3</v>
      </c>
    </row>
    <row r="55" spans="1:16" x14ac:dyDescent="0.85">
      <c r="A55" s="271">
        <v>1999</v>
      </c>
      <c r="B55">
        <f>IF(AND(ISNUMBER('Total GW EIA'!B65),ISNUMBER('Total GW EIA'!B64),'Total GW EIA'!B64&gt;0),('Total GW EIA'!B65 - 'Total GW EIA'!B64)/'Total GW EIA'!$P65,0)</f>
        <v>-3.689910131602814E-4</v>
      </c>
      <c r="C55">
        <f>IF(AND(ISNUMBER('Total GW EIA'!C65),ISNUMBER('Total GW EIA'!C64),'Total GW EIA'!C64&gt;0),('Total GW EIA'!C65 - 'Total GW EIA'!C64)/'Total GW EIA'!$P65,0)</f>
        <v>-7.9053143612574633E-3</v>
      </c>
      <c r="D55">
        <f>IF(AND(ISNUMBER('Total GW EIA'!D65),ISNUMBER('Total GW EIA'!D64),'Total GW EIA'!D64&gt;0),('Total GW EIA'!D65 - 'Total GW EIA'!D64)/'Total GW EIA'!$P65,0)</f>
        <v>1.8870709366137044E-2</v>
      </c>
      <c r="E55">
        <f>IF(AND(ISNUMBER('Total GW EIA'!E65),ISNUMBER('Total GW EIA'!E64),'Total GW EIA'!E64&gt;0),('Total GW EIA'!E65 - 'Total GW EIA'!E64)/'Total GW EIA'!$P65,0)</f>
        <v>1.1091360902475655E-2</v>
      </c>
      <c r="F55">
        <f>IF(AND(ISNUMBER('Total GW EIA'!F65),ISNUMBER('Total GW EIA'!F64),'Total GW EIA'!F64&gt;0),('Total GW EIA'!F65 - 'Total GW EIA'!F64)/'Total GW EIA'!$P65,0)</f>
        <v>4.3388253616431067E-4</v>
      </c>
      <c r="G55">
        <f>IF(AND(ISNUMBER('Total GW EIA'!G65),ISNUMBER('Total GW EIA'!G64),'Total GW EIA'!G64&gt;0),('Total GW EIA'!G65 - 'Total GW EIA'!G64)/'Total GW EIA'!$P65,0)</f>
        <v>5.8529608984044224E-5</v>
      </c>
      <c r="H55">
        <f>IF(AND(ISNUMBER('Total GW EIA'!H65),ISNUMBER('Total GW EIA'!H64),'Total GW EIA'!H64&gt;0),('Total GW EIA'!H65 - 'Total GW EIA'!H64)/'Total GW EIA'!$P65,0)</f>
        <v>3.0791663856821869E-4</v>
      </c>
      <c r="I55">
        <f>IF(AND(ISNUMBER('Total GW EIA'!I65),ISNUMBER('Total GW EIA'!I64),'Total GW EIA'!I64&gt;0),('Total GW EIA'!I65 - 'Total GW EIA'!I64)/'Total GW EIA'!$P65,0)</f>
        <v>-8.906679628005748E-6</v>
      </c>
      <c r="J55">
        <f>IF(AND(ISNUMBER('Total GW EIA'!J65),ISNUMBER('Total GW EIA'!J64),'Total GW EIA'!J64&gt;0),('Total GW EIA'!J65 - 'Total GW EIA'!J64)/'Total GW EIA'!$P65,0)</f>
        <v>-4.3261015336029692E-5</v>
      </c>
      <c r="K55">
        <f>IF(AND(ISNUMBER('Total GW EIA'!K65),ISNUMBER('Total GW EIA'!K64),'Total GW EIA'!K64&gt;0),('Total GW EIA'!K65 - 'Total GW EIA'!K64)/'Total GW EIA'!$P65,0)</f>
        <v>-5.9801991788041009E-5</v>
      </c>
      <c r="L55">
        <f>IF(AND(ISNUMBER('Total GW EIA'!L65),ISNUMBER('Total GW EIA'!L64),'Total GW EIA'!L64&gt;0),('Total GW EIA'!L65 - 'Total GW EIA'!L64)/'Total GW EIA'!$P65,0)</f>
        <v>6.8708671416047536E-5</v>
      </c>
      <c r="M55">
        <f>IF(AND(ISNUMBER('Total GW EIA'!M65),ISNUMBER('Total GW EIA'!M64),'Total GW EIA'!M64&gt;0),('Total GW EIA'!M65 - 'Total GW EIA'!M64)/'Total GW EIA'!$P65,0)</f>
        <v>6.7690765172846821E-4</v>
      </c>
      <c r="N55">
        <f>IF(AND(ISNUMBER('Total GW EIA'!N65),ISNUMBER('Total GW EIA'!N64),'Total GW EIA'!N64&gt;0),('Total GW EIA'!N65 - 'Total GW EIA'!N64)/'Total GW EIA'!$P65,0)</f>
        <v>9.4156327496064504E-4</v>
      </c>
      <c r="O55">
        <f>IF(AND(ISNUMBER('Total GW EIA'!O65),ISNUMBER('Total GW EIA'!O64),'Total GW EIA'!O64&gt;0),('Total GW EIA'!O65 - 'Total GW EIA'!O64)/'Total GW EIA'!$P65,0)</f>
        <v>0</v>
      </c>
      <c r="P55">
        <f>IF(AND(ISNUMBER('Total GW EIA'!P65),ISNUMBER('Total GW EIA'!P64),'Total GW EIA'!P64&gt;0),('Total GW EIA'!P65 - 'Total GW EIA'!P64)/'Total GW EIA'!$P65,0)</f>
        <v>1.2798898625444817E-2</v>
      </c>
    </row>
    <row r="56" spans="1:16" x14ac:dyDescent="0.85">
      <c r="A56" s="271">
        <v>2000</v>
      </c>
      <c r="B56">
        <f>IF(AND(ISNUMBER('Total GW EIA'!B66),ISNUMBER('Total GW EIA'!B65),'Total GW EIA'!B65&gt;0),('Total GW EIA'!B66 - 'Total GW EIA'!B65)/'Total GW EIA'!$P66,0)</f>
        <v>-4.7183757946087486E-4</v>
      </c>
      <c r="C56">
        <f>IF(AND(ISNUMBER('Total GW EIA'!C66),ISNUMBER('Total GW EIA'!C65),'Total GW EIA'!C65&gt;0),('Total GW EIA'!C66 - 'Total GW EIA'!C65)/'Total GW EIA'!$P66,0)</f>
        <v>2.1768590154240329E-3</v>
      </c>
      <c r="D56">
        <f>IF(AND(ISNUMBER('Total GW EIA'!D66),ISNUMBER('Total GW EIA'!D65),'Total GW EIA'!D65&gt;0),('Total GW EIA'!D66 - 'Total GW EIA'!D65)/'Total GW EIA'!$P66,0)</f>
        <v>3.0147095057408962E-2</v>
      </c>
      <c r="E56">
        <f>IF(AND(ISNUMBER('Total GW EIA'!E66),ISNUMBER('Total GW EIA'!E65),'Total GW EIA'!E65&gt;0),('Total GW EIA'!E66 - 'Total GW EIA'!E65)/'Total GW EIA'!$P66,0)</f>
        <v>3.2385551668062888E-2</v>
      </c>
      <c r="F56">
        <f>IF(AND(ISNUMBER('Total GW EIA'!F66),ISNUMBER('Total GW EIA'!F65),'Total GW EIA'!F65&gt;0),('Total GW EIA'!F66 - 'Total GW EIA'!F65)/'Total GW EIA'!$P66,0)</f>
        <v>5.5314640516434003E-4</v>
      </c>
      <c r="G56">
        <f>IF(AND(ISNUMBER('Total GW EIA'!G66),ISNUMBER('Total GW EIA'!G65),'Total GW EIA'!G65&gt;0),('Total GW EIA'!G66 - 'Total GW EIA'!G65)/'Total GW EIA'!$P66,0)</f>
        <v>-5.2973931897702176E-5</v>
      </c>
      <c r="H56">
        <f>IF(AND(ISNUMBER('Total GW EIA'!H66),ISNUMBER('Total GW EIA'!H65),'Total GW EIA'!H65&gt;0),('Total GW EIA'!H66 - 'Total GW EIA'!H65)/'Total GW EIA'!$P66,0)</f>
        <v>-4.1886364756327334E-5</v>
      </c>
      <c r="I56">
        <f>IF(AND(ISNUMBER('Total GW EIA'!I66),ISNUMBER('Total GW EIA'!I65),'Total GW EIA'!I65&gt;0),('Total GW EIA'!I66 - 'Total GW EIA'!I65)/'Total GW EIA'!$P66,0)</f>
        <v>-7.9707288227467629E-4</v>
      </c>
      <c r="J56">
        <f>IF(AND(ISNUMBER('Total GW EIA'!J66),ISNUMBER('Total GW EIA'!J65),'Total GW EIA'!J65&gt;0),('Total GW EIA'!J66 - 'Total GW EIA'!J65)/'Total GW EIA'!$P66,0)</f>
        <v>2.5870989996550531E-4</v>
      </c>
      <c r="K56">
        <f>IF(AND(ISNUMBER('Total GW EIA'!K66),ISNUMBER('Total GW EIA'!K65),'Total GW EIA'!K65&gt;0),('Total GW EIA'!K66 - 'Total GW EIA'!K65)/'Total GW EIA'!$P66,0)</f>
        <v>-6.5293450943675074E-5</v>
      </c>
      <c r="L56">
        <f>IF(AND(ISNUMBER('Total GW EIA'!L66),ISNUMBER('Total GW EIA'!L65),'Total GW EIA'!L65&gt;0),('Total GW EIA'!L66 - 'Total GW EIA'!L65)/'Total GW EIA'!$P66,0)</f>
        <v>-2.463903809195291E-6</v>
      </c>
      <c r="M56">
        <f>IF(AND(ISNUMBER('Total GW EIA'!M66),ISNUMBER('Total GW EIA'!M65),'Total GW EIA'!M65&gt;0),('Total GW EIA'!M66 - 'Total GW EIA'!M65)/'Total GW EIA'!$P66,0)</f>
        <v>1.5399398807470555E-4</v>
      </c>
      <c r="N56">
        <f>IF(AND(ISNUMBER('Total GW EIA'!N66),ISNUMBER('Total GW EIA'!N65),'Total GW EIA'!N65&gt;0),('Total GW EIA'!N66 - 'Total GW EIA'!N65)/'Total GW EIA'!$P66,0)</f>
        <v>-4.9401271374365082E-4</v>
      </c>
      <c r="O56">
        <f>IF(AND(ISNUMBER('Total GW EIA'!O66),ISNUMBER('Total GW EIA'!O65),'Total GW EIA'!O65&gt;0),('Total GW EIA'!O66 - 'Total GW EIA'!O65)/'Total GW EIA'!$P66,0)</f>
        <v>0</v>
      </c>
      <c r="P56">
        <f>IF(AND(ISNUMBER('Total GW EIA'!P66),ISNUMBER('Total GW EIA'!P65),'Total GW EIA'!P65&gt;0),('Total GW EIA'!P66 - 'Total GW EIA'!P65)/'Total GW EIA'!$P66,0)</f>
        <v>3.1775735475287052E-2</v>
      </c>
    </row>
    <row r="57" spans="1:16" x14ac:dyDescent="0.85">
      <c r="A57" s="271">
        <v>2001</v>
      </c>
      <c r="B57">
        <f>IF(AND(ISNUMBER('Total GW EIA'!B67),ISNUMBER('Total GW EIA'!B66),'Total GW EIA'!B66&gt;0),('Total GW EIA'!B67 - 'Total GW EIA'!B66)/'Total GW EIA'!$P67,0)</f>
        <v>-1.0397767662942627E-3</v>
      </c>
      <c r="C57">
        <f>IF(AND(ISNUMBER('Total GW EIA'!C67),ISNUMBER('Total GW EIA'!C66),'Total GW EIA'!C66&gt;0),('Total GW EIA'!C67 - 'Total GW EIA'!C66)/'Total GW EIA'!$P67,0)</f>
        <v>5.0998574727766019E-3</v>
      </c>
      <c r="D57">
        <f>IF(AND(ISNUMBER('Total GW EIA'!D67),ISNUMBER('Total GW EIA'!D66),'Total GW EIA'!D66&gt;0),('Total GW EIA'!D67 - 'Total GW EIA'!D66)/'Total GW EIA'!$P67,0)</f>
        <v>3.9189681453424004E-2</v>
      </c>
      <c r="E57">
        <f>IF(AND(ISNUMBER('Total GW EIA'!E67),ISNUMBER('Total GW EIA'!E66),'Total GW EIA'!E66&gt;0),('Total GW EIA'!E67 - 'Total GW EIA'!E66)/'Total GW EIA'!$P67,0)</f>
        <v>4.2458730175571467E-2</v>
      </c>
      <c r="F57">
        <f>IF(AND(ISNUMBER('Total GW EIA'!F67),ISNUMBER('Total GW EIA'!F66),'Total GW EIA'!F66&gt;0),('Total GW EIA'!F67 - 'Total GW EIA'!F66)/'Total GW EIA'!$P67,0)</f>
        <v>3.5248668154420595E-4</v>
      </c>
      <c r="G57">
        <f>IF(AND(ISNUMBER('Total GW EIA'!G67),ISNUMBER('Total GW EIA'!G66),'Total GW EIA'!G66&gt;0),('Total GW EIA'!G67 - 'Total GW EIA'!G66)/'Total GW EIA'!$P67,0)</f>
        <v>1.6740170160293378E-4</v>
      </c>
      <c r="H57">
        <f>IF(AND(ISNUMBER('Total GW EIA'!H67),ISNUMBER('Total GW EIA'!H66),'Total GW EIA'!H66&gt;0),('Total GW EIA'!H67 - 'Total GW EIA'!H66)/'Total GW EIA'!$P67,0)</f>
        <v>-5.2106726836967604E-4</v>
      </c>
      <c r="I57">
        <f>IF(AND(ISNUMBER('Total GW EIA'!I67),ISNUMBER('Total GW EIA'!I66),'Total GW EIA'!I66&gt;0),('Total GW EIA'!I67 - 'Total GW EIA'!I66)/'Total GW EIA'!$P67,0)</f>
        <v>-3.1358346919985522E-4</v>
      </c>
      <c r="J57">
        <f>IF(AND(ISNUMBER('Total GW EIA'!J67),ISNUMBER('Total GW EIA'!J66),'Total GW EIA'!J66&gt;0),('Total GW EIA'!J67 - 'Total GW EIA'!J66)/'Total GW EIA'!$P67,0)</f>
        <v>-1.4264511192925745E-4</v>
      </c>
      <c r="K57">
        <f>IF(AND(ISNUMBER('Total GW EIA'!K67),ISNUMBER('Total GW EIA'!K66),'Total GW EIA'!K66&gt;0),('Total GW EIA'!K67 - 'Total GW EIA'!K66)/'Total GW EIA'!$P67,0)</f>
        <v>-6.8021677341472352E-4</v>
      </c>
      <c r="L57">
        <f>IF(AND(ISNUMBER('Total GW EIA'!L67),ISNUMBER('Total GW EIA'!L66),'Total GW EIA'!L66&gt;0),('Total GW EIA'!L67 - 'Total GW EIA'!L66)/'Total GW EIA'!$P67,0)</f>
        <v>5.8944261127792387E-6</v>
      </c>
      <c r="M57">
        <f>IF(AND(ISNUMBER('Total GW EIA'!M67),ISNUMBER('Total GW EIA'!M66),'Total GW EIA'!M66&gt;0),('Total GW EIA'!M67 - 'Total GW EIA'!M66)/'Total GW EIA'!$P67,0)</f>
        <v>1.7530023259405441E-3</v>
      </c>
      <c r="N57">
        <f>IF(AND(ISNUMBER('Total GW EIA'!N67),ISNUMBER('Total GW EIA'!N66),'Total GW EIA'!N66&gt;0),('Total GW EIA'!N67 - 'Total GW EIA'!N66)/'Total GW EIA'!$P67,0)</f>
        <v>1.0138412913980107E-4</v>
      </c>
      <c r="O57">
        <f>IF(AND(ISNUMBER('Total GW EIA'!O67),ISNUMBER('Total GW EIA'!O66),'Total GW EIA'!O66&gt;0),('Total GW EIA'!O67 - 'Total GW EIA'!O66)/'Total GW EIA'!$P67,0)</f>
        <v>0</v>
      </c>
      <c r="P57">
        <f>IF(AND(ISNUMBER('Total GW EIA'!P67),ISNUMBER('Total GW EIA'!P66),'Total GW EIA'!P66&gt;0),('Total GW EIA'!P67 - 'Total GW EIA'!P66)/'Total GW EIA'!$P67,0)</f>
        <v>4.3075287146968066E-2</v>
      </c>
    </row>
    <row r="58" spans="1:16" x14ac:dyDescent="0.85">
      <c r="A58" s="271">
        <v>2002</v>
      </c>
      <c r="B58">
        <f>IF(AND(ISNUMBER('Total GW EIA'!B68),ISNUMBER('Total GW EIA'!B67),'Total GW EIA'!B67&gt;0),('Total GW EIA'!B68 - 'Total GW EIA'!B67)/'Total GW EIA'!$P68,0)</f>
        <v>1.2360516159248827E-3</v>
      </c>
      <c r="C58">
        <f>IF(AND(ISNUMBER('Total GW EIA'!C68),ISNUMBER('Total GW EIA'!C67),'Total GW EIA'!C67&gt;0),('Total GW EIA'!C68 - 'Total GW EIA'!C67)/'Total GW EIA'!$P68,0)</f>
        <v>-7.1920751307298584E-3</v>
      </c>
      <c r="D58">
        <f>IF(AND(ISNUMBER('Total GW EIA'!D68),ISNUMBER('Total GW EIA'!D67),'Total GW EIA'!D67&gt;0),('Total GW EIA'!D68 - 'Total GW EIA'!D67)/'Total GW EIA'!$P68,0)</f>
        <v>6.5921648245557837E-2</v>
      </c>
      <c r="E58">
        <f>IF(AND(ISNUMBER('Total GW EIA'!E68),ISNUMBER('Total GW EIA'!E67),'Total GW EIA'!E67&gt;0),('Total GW EIA'!E68 - 'Total GW EIA'!E67)/'Total GW EIA'!$P68,0)</f>
        <v>6.0337876200428041E-2</v>
      </c>
      <c r="F58">
        <f>IF(AND(ISNUMBER('Total GW EIA'!F68),ISNUMBER('Total GW EIA'!F67),'Total GW EIA'!F67&gt;0),('Total GW EIA'!F68 - 'Total GW EIA'!F67)/'Total GW EIA'!$P68,0)</f>
        <v>5.5009267625608961E-4</v>
      </c>
      <c r="G58">
        <f>IF(AND(ISNUMBER('Total GW EIA'!G68),ISNUMBER('Total GW EIA'!G67),'Total GW EIA'!G67&gt;0),('Total GW EIA'!G68 - 'Total GW EIA'!G67)/'Total GW EIA'!$P68,0)</f>
        <v>7.8095486368084596E-4</v>
      </c>
      <c r="H58">
        <f>IF(AND(ISNUMBER('Total GW EIA'!H68),ISNUMBER('Total GW EIA'!H67),'Total GW EIA'!H67&gt;0),('Total GW EIA'!H68 - 'Total GW EIA'!H67)/'Total GW EIA'!$P68,0)</f>
        <v>4.860256577363109E-4</v>
      </c>
      <c r="I58">
        <f>IF(AND(ISNUMBER('Total GW EIA'!I68),ISNUMBER('Total GW EIA'!I67),'Total GW EIA'!I67&gt;0),('Total GW EIA'!I68 - 'Total GW EIA'!I67)/'Total GW EIA'!$P68,0)</f>
        <v>-4.087033940055354E-5</v>
      </c>
      <c r="J58">
        <f>IF(AND(ISNUMBER('Total GW EIA'!J68),ISNUMBER('Total GW EIA'!J67),'Total GW EIA'!J67&gt;0),('Total GW EIA'!J68 - 'Total GW EIA'!J67)/'Total GW EIA'!$P68,0)</f>
        <v>5.5230188379126329E-5</v>
      </c>
      <c r="K58">
        <f>IF(AND(ISNUMBER('Total GW EIA'!K68),ISNUMBER('Total GW EIA'!K67),'Total GW EIA'!K67&gt;0),('Total GW EIA'!K68 - 'Total GW EIA'!K67)/'Total GW EIA'!$P68,0)</f>
        <v>3.9765735632970639E-5</v>
      </c>
      <c r="L58">
        <f>IF(AND(ISNUMBER('Total GW EIA'!L68),ISNUMBER('Total GW EIA'!L67),'Total GW EIA'!L67&gt;0),('Total GW EIA'!L68 - 'Total GW EIA'!L67)/'Total GW EIA'!$P68,0)</f>
        <v>5.5230188379126568E-6</v>
      </c>
      <c r="M58">
        <f>IF(AND(ISNUMBER('Total GW EIA'!M68),ISNUMBER('Total GW EIA'!M67),'Total GW EIA'!M67&gt;0),('Total GW EIA'!M68 - 'Total GW EIA'!M67)/'Total GW EIA'!$P68,0)</f>
        <v>6.0974127970555734E-4</v>
      </c>
      <c r="N58">
        <f>IF(AND(ISNUMBER('Total GW EIA'!N68),ISNUMBER('Total GW EIA'!N67),'Total GW EIA'!N67&gt;0),('Total GW EIA'!N68 - 'Total GW EIA'!N67)/'Total GW EIA'!$P68,0)</f>
        <v>1.155415540891334E-3</v>
      </c>
      <c r="O58">
        <f>IF(AND(ISNUMBER('Total GW EIA'!O68),ISNUMBER('Total GW EIA'!O67),'Total GW EIA'!O67&gt;0),('Total GW EIA'!O68 - 'Total GW EIA'!O67)/'Total GW EIA'!$P68,0)</f>
        <v>0</v>
      </c>
      <c r="P58">
        <f>IF(AND(ISNUMBER('Total GW EIA'!P68),ISNUMBER('Total GW EIA'!P67),'Total GW EIA'!P67&gt;0),('Total GW EIA'!P68 - 'Total GW EIA'!P67)/'Total GW EIA'!$P68,0)</f>
        <v>6.3009912714210289E-2</v>
      </c>
    </row>
    <row r="59" spans="1:16" x14ac:dyDescent="0.85">
      <c r="A59" s="271">
        <v>2003</v>
      </c>
      <c r="B59">
        <f>IF(AND(ISNUMBER('Total GW EIA'!B69),ISNUMBER('Total GW EIA'!B68),'Total GW EIA'!B68&gt;0),('Total GW EIA'!B69 - 'Total GW EIA'!B68)/'Total GW EIA'!$P69,0)</f>
        <v>-2.457704497673054E-3</v>
      </c>
      <c r="C59">
        <f>IF(AND(ISNUMBER('Total GW EIA'!C69),ISNUMBER('Total GW EIA'!C68),'Total GW EIA'!C68&gt;0),('Total GW EIA'!C69 - 'Total GW EIA'!C68)/'Total GW EIA'!$P69,0)</f>
        <v>1.1376504302827925E-3</v>
      </c>
      <c r="D59">
        <f>IF(AND(ISNUMBER('Total GW EIA'!D69),ISNUMBER('Total GW EIA'!D68),'Total GW EIA'!D68&gt;0),('Total GW EIA'!D69 - 'Total GW EIA'!D68)/'Total GW EIA'!$P69,0)</f>
        <v>4.5262460909740745E-2</v>
      </c>
      <c r="E59">
        <f>IF(AND(ISNUMBER('Total GW EIA'!E69),ISNUMBER('Total GW EIA'!E68),'Total GW EIA'!E68&gt;0),('Total GW EIA'!E69 - 'Total GW EIA'!E68)/'Total GW EIA'!$P69,0)</f>
        <v>4.3927645854376536E-2</v>
      </c>
      <c r="F59">
        <f>IF(AND(ISNUMBER('Total GW EIA'!F69),ISNUMBER('Total GW EIA'!F68),'Total GW EIA'!F68&gt;0),('Total GW EIA'!F69 - 'Total GW EIA'!F68)/'Total GW EIA'!$P69,0)</f>
        <v>5.8200466868963199E-4</v>
      </c>
      <c r="G59">
        <f>IF(AND(ISNUMBER('Total GW EIA'!G69),ISNUMBER('Total GW EIA'!G68),'Total GW EIA'!G68&gt;0),('Total GW EIA'!G69 - 'Total GW EIA'!G68)/'Total GW EIA'!$P69,0)</f>
        <v>1.5920779886256022E-4</v>
      </c>
      <c r="H59">
        <f>IF(AND(ISNUMBER('Total GW EIA'!H69),ISNUMBER('Total GW EIA'!H68),'Total GW EIA'!H68&gt;0),('Total GW EIA'!H69 - 'Total GW EIA'!H68)/'Total GW EIA'!$P69,0)</f>
        <v>-6.9903821619786118E-4</v>
      </c>
      <c r="I59">
        <f>IF(AND(ISNUMBER('Total GW EIA'!I69),ISNUMBER('Total GW EIA'!I68),'Total GW EIA'!I68&gt;0),('Total GW EIA'!I69 - 'Total GW EIA'!I68)/'Total GW EIA'!$P69,0)</f>
        <v>2.7413263380309146E-5</v>
      </c>
      <c r="J59">
        <f>IF(AND(ISNUMBER('Total GW EIA'!J69),ISNUMBER('Total GW EIA'!J68),'Total GW EIA'!J68&gt;0),('Total GW EIA'!J69 - 'Total GW EIA'!J68)/'Total GW EIA'!$P69,0)</f>
        <v>-4.4282963922036483E-5</v>
      </c>
      <c r="K59">
        <f>IF(AND(ISNUMBER('Total GW EIA'!K69),ISNUMBER('Total GW EIA'!K68),'Total GW EIA'!K68&gt;0),('Total GW EIA'!K69 - 'Total GW EIA'!K68)/'Total GW EIA'!$P69,0)</f>
        <v>-1.2441404149524579E-4</v>
      </c>
      <c r="L59">
        <f>IF(AND(ISNUMBER('Total GW EIA'!L69),ISNUMBER('Total GW EIA'!L68),'Total GW EIA'!L68&gt;0),('Total GW EIA'!L69 - 'Total GW EIA'!L68)/'Total GW EIA'!$P69,0)</f>
        <v>0</v>
      </c>
      <c r="M59">
        <f>IF(AND(ISNUMBER('Total GW EIA'!M69),ISNUMBER('Total GW EIA'!M68),'Total GW EIA'!M68&gt;0),('Total GW EIA'!M69 - 'Total GW EIA'!M68)/'Total GW EIA'!$P69,0)</f>
        <v>1.6648285722118072E-3</v>
      </c>
      <c r="N59">
        <f>IF(AND(ISNUMBER('Total GW EIA'!N69),ISNUMBER('Total GW EIA'!N68),'Total GW EIA'!N68&gt;0),('Total GW EIA'!N69 - 'Total GW EIA'!N68)/'Total GW EIA'!$P69,0)</f>
        <v>8.2450661397696489E-4</v>
      </c>
      <c r="O59">
        <f>IF(AND(ISNUMBER('Total GW EIA'!O69),ISNUMBER('Total GW EIA'!O68),'Total GW EIA'!O68&gt;0),('Total GW EIA'!O69 - 'Total GW EIA'!O68)/'Total GW EIA'!$P69,0)</f>
        <v>0</v>
      </c>
      <c r="P59">
        <f>IF(AND(ISNUMBER('Total GW EIA'!P69),ISNUMBER('Total GW EIA'!P68),'Total GW EIA'!P68&gt;0),('Total GW EIA'!P69 - 'Total GW EIA'!P68)/'Total GW EIA'!$P69,0)</f>
        <v>4.5489147510770253E-2</v>
      </c>
    </row>
    <row r="60" spans="1:16" x14ac:dyDescent="0.85">
      <c r="A60" s="271">
        <v>2004</v>
      </c>
      <c r="B60">
        <f>IF(AND(ISNUMBER('Total GW EIA'!B70),ISNUMBER('Total GW EIA'!B69),'Total GW EIA'!B69&gt;0),('Total GW EIA'!B70 - 'Total GW EIA'!B69)/'Total GW EIA'!$P70,0)</f>
        <v>1.0384798316586322E-6</v>
      </c>
      <c r="C60">
        <f>IF(AND(ISNUMBER('Total GW EIA'!C70),ISNUMBER('Total GW EIA'!C69),'Total GW EIA'!C69&gt;0),('Total GW EIA'!C70 - 'Total GW EIA'!C69)/'Total GW EIA'!$P70,0)</f>
        <v>-1.6719525290099335E-3</v>
      </c>
      <c r="D60">
        <f>IF(AND(ISNUMBER('Total GW EIA'!D70),ISNUMBER('Total GW EIA'!D69),'Total GW EIA'!D69&gt;0),('Total GW EIA'!D70 - 'Total GW EIA'!D69)/'Total GW EIA'!$P70,0)</f>
        <v>1.6169130979307302E-2</v>
      </c>
      <c r="E60">
        <f>IF(AND(ISNUMBER('Total GW EIA'!E70),ISNUMBER('Total GW EIA'!E69),'Total GW EIA'!E69&gt;0),('Total GW EIA'!E70 - 'Total GW EIA'!E69)/'Total GW EIA'!$P70,0)</f>
        <v>1.4812876319129016E-2</v>
      </c>
      <c r="F60">
        <f>IF(AND(ISNUMBER('Total GW EIA'!F70),ISNUMBER('Total GW EIA'!F69),'Total GW EIA'!F69&gt;0),('Total GW EIA'!F70 - 'Total GW EIA'!F69)/'Total GW EIA'!$P70,0)</f>
        <v>4.3512304947525293E-4</v>
      </c>
      <c r="G60">
        <f>IF(AND(ISNUMBER('Total GW EIA'!G70),ISNUMBER('Total GW EIA'!G69),'Total GW EIA'!G69&gt;0),('Total GW EIA'!G70 - 'Total GW EIA'!G69)/'Total GW EIA'!$P70,0)</f>
        <v>2.5235059909901707E-4</v>
      </c>
      <c r="H60">
        <f>IF(AND(ISNUMBER('Total GW EIA'!H70),ISNUMBER('Total GW EIA'!H69),'Total GW EIA'!H69&gt;0),('Total GW EIA'!H70 - 'Total GW EIA'!H69)/'Total GW EIA'!$P70,0)</f>
        <v>-1.093519262762395E-3</v>
      </c>
      <c r="I60">
        <f>IF(AND(ISNUMBER('Total GW EIA'!I70),ISNUMBER('Total GW EIA'!I69),'Total GW EIA'!I69&gt;0),('Total GW EIA'!I70 - 'Total GW EIA'!I69)/'Total GW EIA'!$P70,0)</f>
        <v>3.2296722765347166E-4</v>
      </c>
      <c r="J60">
        <f>IF(AND(ISNUMBER('Total GW EIA'!J70),ISNUMBER('Total GW EIA'!J69),'Total GW EIA'!J69&gt;0),('Total GW EIA'!J70 - 'Total GW EIA'!J69)/'Total GW EIA'!$P70,0)</f>
        <v>-2.3677340162376727E-4</v>
      </c>
      <c r="K60">
        <f>IF(AND(ISNUMBER('Total GW EIA'!K70),ISNUMBER('Total GW EIA'!K69),'Total GW EIA'!K69&gt;0),('Total GW EIA'!K70 - 'Total GW EIA'!K69)/'Total GW EIA'!$P70,0)</f>
        <v>1.8692636970297647E-5</v>
      </c>
      <c r="L60">
        <f>IF(AND(ISNUMBER('Total GW EIA'!L70),ISNUMBER('Total GW EIA'!L69),'Total GW EIA'!L69&gt;0),('Total GW EIA'!L70 - 'Total GW EIA'!L69)/'Total GW EIA'!$P70,0)</f>
        <v>1.0384798316831898E-6</v>
      </c>
      <c r="M60">
        <f>IF(AND(ISNUMBER('Total GW EIA'!M70),ISNUMBER('Total GW EIA'!M69),'Total GW EIA'!M69&gt;0),('Total GW EIA'!M70 - 'Total GW EIA'!M69)/'Total GW EIA'!$P70,0)</f>
        <v>4.787392024059504E-4</v>
      </c>
      <c r="N60">
        <f>IF(AND(ISNUMBER('Total GW EIA'!N70),ISNUMBER('Total GW EIA'!N69),'Total GW EIA'!N69&gt;0),('Total GW EIA'!N70 - 'Total GW EIA'!N69)/'Total GW EIA'!$P70,0)</f>
        <v>-5.0885511752475718E-4</v>
      </c>
      <c r="O60">
        <f>IF(AND(ISNUMBER('Total GW EIA'!O70),ISNUMBER('Total GW EIA'!O69),'Total GW EIA'!O69&gt;0),('Total GW EIA'!O70 - 'Total GW EIA'!O69)/'Total GW EIA'!$P70,0)</f>
        <v>0</v>
      </c>
      <c r="P60">
        <f>IF(AND(ISNUMBER('Total GW EIA'!P70),ISNUMBER('Total GW EIA'!P69),'Total GW EIA'!P69&gt;0),('Total GW EIA'!P70 - 'Total GW EIA'!P69)/'Total GW EIA'!$P70,0)</f>
        <v>1.5057957559406239E-2</v>
      </c>
    </row>
    <row r="61" spans="1:16" x14ac:dyDescent="0.85">
      <c r="A61" s="271">
        <v>2005</v>
      </c>
      <c r="B61">
        <f>IF(AND(ISNUMBER('Total GW EIA'!B71),ISNUMBER('Total GW EIA'!B70),'Total GW EIA'!B70&gt;0),('Total GW EIA'!B71 - 'Total GW EIA'!B70)/'Total GW EIA'!$P71,0)</f>
        <v>3.6809138482115218E-4</v>
      </c>
      <c r="C61">
        <f>IF(AND(ISNUMBER('Total GW EIA'!C71),ISNUMBER('Total GW EIA'!C70),'Total GW EIA'!C70&gt;0),('Total GW EIA'!C71 - 'Total GW EIA'!C70)/'Total GW EIA'!$P71,0)</f>
        <v>-5.8485631143802633E-4</v>
      </c>
      <c r="D61">
        <f>IF(AND(ISNUMBER('Total GW EIA'!D71),ISNUMBER('Total GW EIA'!D70),'Total GW EIA'!D70&gt;0),('Total GW EIA'!D71 - 'Total GW EIA'!D70)/'Total GW EIA'!$P71,0)</f>
        <v>1.2319814154749685E-2</v>
      </c>
      <c r="E61">
        <f>IF(AND(ISNUMBER('Total GW EIA'!E71),ISNUMBER('Total GW EIA'!E70),'Total GW EIA'!E70&gt;0),('Total GW EIA'!E71 - 'Total GW EIA'!E70)/'Total GW EIA'!$P71,0)</f>
        <v>1.1863789827999143E-2</v>
      </c>
      <c r="F61">
        <f>IF(AND(ISNUMBER('Total GW EIA'!F71),ISNUMBER('Total GW EIA'!F70),'Total GW EIA'!F70&gt;0),('Total GW EIA'!F71 - 'Total GW EIA'!F70)/'Total GW EIA'!$P71,0)</f>
        <v>3.6809138482113765E-4</v>
      </c>
      <c r="G61">
        <f>IF(AND(ISNUMBER('Total GW EIA'!G71),ISNUMBER('Total GW EIA'!G70),'Total GW EIA'!G70&gt;0),('Total GW EIA'!G71 - 'Total GW EIA'!G70)/'Total GW EIA'!$P71,0)</f>
        <v>5.9508107212750754E-4</v>
      </c>
      <c r="H61">
        <f>IF(AND(ISNUMBER('Total GW EIA'!H71),ISNUMBER('Total GW EIA'!H70),'Total GW EIA'!H70&gt;0),('Total GW EIA'!H71 - 'Total GW EIA'!H70)/'Total GW EIA'!$P71,0)</f>
        <v>-1.0327008296370731E-4</v>
      </c>
      <c r="I61">
        <f>IF(AND(ISNUMBER('Total GW EIA'!I71),ISNUMBER('Total GW EIA'!I70),'Total GW EIA'!I70&gt;0),('Total GW EIA'!I71 - 'Total GW EIA'!I70)/'Total GW EIA'!$P71,0)</f>
        <v>1.2269712827370832E-5</v>
      </c>
      <c r="J61">
        <f>IF(AND(ISNUMBER('Total GW EIA'!J71),ISNUMBER('Total GW EIA'!J70),'Total GW EIA'!J70&gt;0),('Total GW EIA'!J71 - 'Total GW EIA'!J70)/'Total GW EIA'!$P71,0)</f>
        <v>8.0775609446861085E-5</v>
      </c>
      <c r="K61">
        <f>IF(AND(ISNUMBER('Total GW EIA'!K71),ISNUMBER('Total GW EIA'!K70),'Total GW EIA'!K70&gt;0),('Total GW EIA'!K71 - 'Total GW EIA'!K70)/'Total GW EIA'!$P71,0)</f>
        <v>1.3701179323897912E-4</v>
      </c>
      <c r="L61">
        <f>IF(AND(ISNUMBER('Total GW EIA'!L71),ISNUMBER('Total GW EIA'!L70),'Total GW EIA'!L70&gt;0),('Total GW EIA'!L71 - 'Total GW EIA'!L70)/'Total GW EIA'!$P71,0)</f>
        <v>1.3292188896318837E-5</v>
      </c>
      <c r="M61">
        <f>IF(AND(ISNUMBER('Total GW EIA'!M71),ISNUMBER('Total GW EIA'!M70),'Total GW EIA'!M70&gt;0),('Total GW EIA'!M71 - 'Total GW EIA'!M70)/'Total GW EIA'!$P71,0)</f>
        <v>2.3005711551321133E-3</v>
      </c>
      <c r="N61">
        <f>IF(AND(ISNUMBER('Total GW EIA'!N71),ISNUMBER('Total GW EIA'!N70),'Total GW EIA'!N70&gt;0),('Total GW EIA'!N71 - 'Total GW EIA'!N70)/'Total GW EIA'!$P71,0)</f>
        <v>2.4406503765779367E-3</v>
      </c>
      <c r="O61">
        <f>IF(AND(ISNUMBER('Total GW EIA'!O71),ISNUMBER('Total GW EIA'!O70),'Total GW EIA'!O70&gt;0),('Total GW EIA'!O71 - 'Total GW EIA'!O70)/'Total GW EIA'!$P71,0)</f>
        <v>0</v>
      </c>
      <c r="P61">
        <f>IF(AND(ISNUMBER('Total GW EIA'!P71),ISNUMBER('Total GW EIA'!P70),'Total GW EIA'!P70&gt;0),('Total GW EIA'!P71 - 'Total GW EIA'!P70)/'Total GW EIA'!$P71,0)</f>
        <v>1.5410759311178324E-2</v>
      </c>
    </row>
    <row r="62" spans="1:16" x14ac:dyDescent="0.85">
      <c r="A62" s="271">
        <v>2006</v>
      </c>
      <c r="B62">
        <f>IF(AND(ISNUMBER('Total GW EIA'!B72),ISNUMBER('Total GW EIA'!B71),'Total GW EIA'!B71&gt;0),('Total GW EIA'!B72 - 'Total GW EIA'!B71)/'Total GW EIA'!$P72,0)</f>
        <v>-4.2992697325324743E-4</v>
      </c>
      <c r="C62">
        <f>IF(AND(ISNUMBER('Total GW EIA'!C72),ISNUMBER('Total GW EIA'!C71),'Total GW EIA'!C71&gt;0),('Total GW EIA'!C72 - 'Total GW EIA'!C71)/'Total GW EIA'!$P72,0)</f>
        <v>-4.5730439843685091E-4</v>
      </c>
      <c r="D62">
        <f>IF(AND(ISNUMBER('Total GW EIA'!D72),ISNUMBER('Total GW EIA'!D71),'Total GW EIA'!D71&gt;0),('Total GW EIA'!D72 - 'Total GW EIA'!D71)/'Total GW EIA'!$P72,0)</f>
        <v>5.3071645707726519E-3</v>
      </c>
      <c r="E62">
        <f>IF(AND(ISNUMBER('Total GW EIA'!E72),ISNUMBER('Total GW EIA'!E71),'Total GW EIA'!E71&gt;0),('Total GW EIA'!E72 - 'Total GW EIA'!E71)/'Total GW EIA'!$P72,0)</f>
        <v>4.6156310902095354E-3</v>
      </c>
      <c r="F62">
        <f>IF(AND(ISNUMBER('Total GW EIA'!F72),ISNUMBER('Total GW EIA'!F71),'Total GW EIA'!F71&gt;0),('Total GW EIA'!F72 - 'Total GW EIA'!F71)/'Total GW EIA'!$P72,0)</f>
        <v>3.5083663383403971E-4</v>
      </c>
      <c r="G62">
        <f>IF(AND(ISNUMBER('Total GW EIA'!G72),ISNUMBER('Total GW EIA'!G71),'Total GW EIA'!G71&gt;0),('Total GW EIA'!G72 - 'Total GW EIA'!G71)/'Total GW EIA'!$P72,0)</f>
        <v>1.1559357299733852E-4</v>
      </c>
      <c r="H62">
        <f>IF(AND(ISNUMBER('Total GW EIA'!H72),ISNUMBER('Total GW EIA'!H71),'Total GW EIA'!H71&gt;0),('Total GW EIA'!H72 - 'Total GW EIA'!H71)/'Total GW EIA'!$P72,0)</f>
        <v>2.859419963618408E-4</v>
      </c>
      <c r="I62">
        <f>IF(AND(ISNUMBER('Total GW EIA'!I72),ISNUMBER('Total GW EIA'!I71),'Total GW EIA'!I71&gt;0),('Total GW EIA'!I72 - 'Total GW EIA'!I71)/'Total GW EIA'!$P72,0)</f>
        <v>1.8048821046953291E-4</v>
      </c>
      <c r="J62">
        <f>IF(AND(ISNUMBER('Total GW EIA'!J72),ISNUMBER('Total GW EIA'!J71),'Total GW EIA'!J71&gt;0),('Total GW EIA'!J72 - 'Total GW EIA'!J71)/'Total GW EIA'!$P72,0)</f>
        <v>1.2066346654985609E-4</v>
      </c>
      <c r="K62">
        <f>IF(AND(ISNUMBER('Total GW EIA'!K72),ISNUMBER('Total GW EIA'!K71),'Total GW EIA'!K71&gt;0),('Total GW EIA'!K72 - 'Total GW EIA'!K71)/'Total GW EIA'!$P72,0)</f>
        <v>-1.2167744526035942E-5</v>
      </c>
      <c r="L62">
        <f>IF(AND(ISNUMBER('Total GW EIA'!L72),ISNUMBER('Total GW EIA'!L71),'Total GW EIA'!L71&gt;0),('Total GW EIA'!L72 - 'Total GW EIA'!L71)/'Total GW EIA'!$P72,0)</f>
        <v>0</v>
      </c>
      <c r="M62">
        <f>IF(AND(ISNUMBER('Total GW EIA'!M72),ISNUMBER('Total GW EIA'!M71),'Total GW EIA'!M71&gt;0),('Total GW EIA'!M72 - 'Total GW EIA'!M71)/'Total GW EIA'!$P72,0)</f>
        <v>2.6596661576493551E-3</v>
      </c>
      <c r="N62">
        <f>IF(AND(ISNUMBER('Total GW EIA'!N72),ISNUMBER('Total GW EIA'!N71),'Total GW EIA'!N71&gt;0),('Total GW EIA'!N72 - 'Total GW EIA'!N71)/'Total GW EIA'!$P72,0)</f>
        <v>3.2345920865045493E-3</v>
      </c>
      <c r="O62">
        <f>IF(AND(ISNUMBER('Total GW EIA'!O72),ISNUMBER('Total GW EIA'!O71),'Total GW EIA'!O71&gt;0),('Total GW EIA'!O72 - 'Total GW EIA'!O71)/'Total GW EIA'!$P72,0)</f>
        <v>0</v>
      </c>
      <c r="P62">
        <f>IF(AND(ISNUMBER('Total GW EIA'!P72),ISNUMBER('Total GW EIA'!P71),'Total GW EIA'!P71&gt;0),('Total GW EIA'!P72 - 'Total GW EIA'!P71)/'Total GW EIA'!$P72,0)</f>
        <v>8.3105695112825669E-3</v>
      </c>
    </row>
    <row r="63" spans="1:16" x14ac:dyDescent="0.85">
      <c r="A63" s="271">
        <v>2007</v>
      </c>
      <c r="B63">
        <f>IF(AND(ISNUMBER('Total GW EIA'!B73),ISNUMBER('Total GW EIA'!B72),'Total GW EIA'!B72&gt;0),('Total GW EIA'!B73 - 'Total GW EIA'!B72)/'Total GW EIA'!$P73,0)</f>
        <v>-2.1811456542938554E-4</v>
      </c>
      <c r="C63">
        <f>IF(AND(ISNUMBER('Total GW EIA'!C73),ISNUMBER('Total GW EIA'!C72),'Total GW EIA'!C72&gt;0),('Total GW EIA'!C73 - 'Total GW EIA'!C72)/'Total GW EIA'!$P73,0)</f>
        <v>-2.0394214435766802E-3</v>
      </c>
      <c r="D63">
        <f>IF(AND(ISNUMBER('Total GW EIA'!D73),ISNUMBER('Total GW EIA'!D72),'Total GW EIA'!D72&gt;0),('Total GW EIA'!D73 - 'Total GW EIA'!D72)/'Total GW EIA'!$P73,0)</f>
        <v>4.6045291439254761E-3</v>
      </c>
      <c r="E63">
        <f>IF(AND(ISNUMBER('Total GW EIA'!E73),ISNUMBER('Total GW EIA'!E72),'Total GW EIA'!E72&gt;0),('Total GW EIA'!E73 - 'Total GW EIA'!E72)/'Total GW EIA'!$P73,0)</f>
        <v>2.4052910372001218E-3</v>
      </c>
      <c r="F63">
        <f>IF(AND(ISNUMBER('Total GW EIA'!F73),ISNUMBER('Total GW EIA'!F72),'Total GW EIA'!F72&gt;0),('Total GW EIA'!F73 - 'Total GW EIA'!F72)/'Total GW EIA'!$P73,0)</f>
        <v>-6.8349264742833727E-5</v>
      </c>
      <c r="G63">
        <f>IF(AND(ISNUMBER('Total GW EIA'!G73),ISNUMBER('Total GW EIA'!G72),'Total GW EIA'!G72&gt;0),('Total GW EIA'!G73 - 'Total GW EIA'!G72)/'Total GW EIA'!$P73,0)</f>
        <v>4.2718290464272506E-4</v>
      </c>
      <c r="H63">
        <f>IF(AND(ISNUMBER('Total GW EIA'!H73),ISNUMBER('Total GW EIA'!H72),'Total GW EIA'!H72&gt;0),('Total GW EIA'!H73 - 'Total GW EIA'!H72)/'Total GW EIA'!$P73,0)</f>
        <v>6.3323583511747415E-5</v>
      </c>
      <c r="I63">
        <f>IF(AND(ISNUMBER('Total GW EIA'!I73),ISNUMBER('Total GW EIA'!I72),'Total GW EIA'!I72&gt;0),('Total GW EIA'!I73 - 'Total GW EIA'!I72)/'Total GW EIA'!$P73,0)</f>
        <v>3.3370523374443391E-4</v>
      </c>
      <c r="J63">
        <f>IF(AND(ISNUMBER('Total GW EIA'!J73),ISNUMBER('Total GW EIA'!J72),'Total GW EIA'!J72&gt;0),('Total GW EIA'!J73 - 'Total GW EIA'!J72)/'Total GW EIA'!$P73,0)</f>
        <v>4.0909045221079765E-4</v>
      </c>
      <c r="K63">
        <f>IF(AND(ISNUMBER('Total GW EIA'!K73),ISNUMBER('Total GW EIA'!K72),'Total GW EIA'!K72&gt;0),('Total GW EIA'!K73 - 'Total GW EIA'!K72)/'Total GW EIA'!$P73,0)</f>
        <v>-6.0308174773090544E-5</v>
      </c>
      <c r="L63">
        <f>IF(AND(ISNUMBER('Total GW EIA'!L73),ISNUMBER('Total GW EIA'!L72),'Total GW EIA'!L72&gt;0),('Total GW EIA'!L73 - 'Total GW EIA'!L72)/'Total GW EIA'!$P73,0)</f>
        <v>9.1467398405853945E-5</v>
      </c>
      <c r="M63">
        <f>IF(AND(ISNUMBER('Total GW EIA'!M73),ISNUMBER('Total GW EIA'!M72),'Total GW EIA'!M72&gt;0),('Total GW EIA'!M73 - 'Total GW EIA'!M72)/'Total GW EIA'!$P73,0)</f>
        <v>5.212636572887455E-3</v>
      </c>
      <c r="N63">
        <f>IF(AND(ISNUMBER('Total GW EIA'!N73),ISNUMBER('Total GW EIA'!N72),'Total GW EIA'!N72&gt;0),('Total GW EIA'!N73 - 'Total GW EIA'!N72)/'Total GW EIA'!$P73,0)</f>
        <v>6.0499150659871857E-3</v>
      </c>
      <c r="O63">
        <f>IF(AND(ISNUMBER('Total GW EIA'!O73),ISNUMBER('Total GW EIA'!O72),'Total GW EIA'!O72&gt;0),('Total GW EIA'!O73 - 'Total GW EIA'!O72)/'Total GW EIA'!$P73,0)</f>
        <v>0</v>
      </c>
      <c r="P63">
        <f>IF(AND(ISNUMBER('Total GW EIA'!P73),ISNUMBER('Total GW EIA'!P72),'Total GW EIA'!P72&gt;0),('Total GW EIA'!P73 - 'Total GW EIA'!P72)/'Total GW EIA'!$P73,0)</f>
        <v>8.7205620721888151E-3</v>
      </c>
    </row>
    <row r="64" spans="1:16" x14ac:dyDescent="0.85">
      <c r="A64" s="271">
        <v>2008</v>
      </c>
      <c r="B64">
        <f>IF(AND(ISNUMBER('Total GW EIA'!B74),ISNUMBER('Total GW EIA'!B73),'Total GW EIA'!B73&gt;0),('Total GW EIA'!B74 - 'Total GW EIA'!B73)/'Total GW EIA'!$P74,0)</f>
        <v>5.7713001066158774E-4</v>
      </c>
      <c r="C64">
        <f>IF(AND(ISNUMBER('Total GW EIA'!C74),ISNUMBER('Total GW EIA'!C73),'Total GW EIA'!C73&gt;0),('Total GW EIA'!C74 - 'Total GW EIA'!C73)/'Total GW EIA'!$P74,0)</f>
        <v>1.3631355483378581E-3</v>
      </c>
      <c r="D64">
        <f>IF(AND(ISNUMBER('Total GW EIA'!D74),ISNUMBER('Total GW EIA'!D73),'Total GW EIA'!D73&gt;0),('Total GW EIA'!D74 - 'Total GW EIA'!D73)/'Total GW EIA'!$P74,0)</f>
        <v>4.2656144355757847E-3</v>
      </c>
      <c r="E64">
        <f>IF(AND(ISNUMBER('Total GW EIA'!E74),ISNUMBER('Total GW EIA'!E73),'Total GW EIA'!E73&gt;0),('Total GW EIA'!E74 - 'Total GW EIA'!E73)/'Total GW EIA'!$P74,0)</f>
        <v>5.8891019441263594E-3</v>
      </c>
      <c r="F64">
        <f>IF(AND(ISNUMBER('Total GW EIA'!F74),ISNUMBER('Total GW EIA'!F73),'Total GW EIA'!F73&gt;0),('Total GW EIA'!F74 - 'Total GW EIA'!F73)/'Total GW EIA'!$P74,0)</f>
        <v>4.8407645834219168E-4</v>
      </c>
      <c r="G64">
        <f>IF(AND(ISNUMBER('Total GW EIA'!G74),ISNUMBER('Total GW EIA'!G73),'Total GW EIA'!G73&gt;0),('Total GW EIA'!G74 - 'Total GW EIA'!G73)/'Total GW EIA'!$P74,0)</f>
        <v>-2.771807941427609E-5</v>
      </c>
      <c r="H64">
        <f>IF(AND(ISNUMBER('Total GW EIA'!H74),ISNUMBER('Total GW EIA'!H73),'Total GW EIA'!H73&gt;0),('Total GW EIA'!H74 - 'Total GW EIA'!H73)/'Total GW EIA'!$P74,0)</f>
        <v>4.4546913344376052E-5</v>
      </c>
      <c r="I64">
        <f>IF(AND(ISNUMBER('Total GW EIA'!I74),ISNUMBER('Total GW EIA'!I73),'Total GW EIA'!I73&gt;0),('Total GW EIA'!I74 - 'Total GW EIA'!I73)/'Total GW EIA'!$P74,0)</f>
        <v>1.5838902522444234E-4</v>
      </c>
      <c r="J64">
        <f>IF(AND(ISNUMBER('Total GW EIA'!J74),ISNUMBER('Total GW EIA'!J73),'Total GW EIA'!J73&gt;0),('Total GW EIA'!J74 - 'Total GW EIA'!J73)/'Total GW EIA'!$P74,0)</f>
        <v>5.1476433197943317E-5</v>
      </c>
      <c r="K64">
        <f>IF(AND(ISNUMBER('Total GW EIA'!K74),ISNUMBER('Total GW EIA'!K73),'Total GW EIA'!K73&gt;0),('Total GW EIA'!K74 - 'Total GW EIA'!K73)/'Total GW EIA'!$P74,0)</f>
        <v>1.4848971114791579E-5</v>
      </c>
      <c r="L64">
        <f>IF(AND(ISNUMBER('Total GW EIA'!L74),ISNUMBER('Total GW EIA'!L73),'Total GW EIA'!L73&gt;0),('Total GW EIA'!L74 - 'Total GW EIA'!L73)/'Total GW EIA'!$P74,0)</f>
        <v>3.3657667860193994E-5</v>
      </c>
      <c r="M64">
        <f>IF(AND(ISNUMBER('Total GW EIA'!M74),ISNUMBER('Total GW EIA'!M73),'Total GW EIA'!M73&gt;0),('Total GW EIA'!M74 - 'Total GW EIA'!M73)/'Total GW EIA'!$P74,0)</f>
        <v>8.0540819326628838E-3</v>
      </c>
      <c r="N64">
        <f>IF(AND(ISNUMBER('Total GW EIA'!N74),ISNUMBER('Total GW EIA'!N73),'Total GW EIA'!N73&gt;0),('Total GW EIA'!N74 - 'Total GW EIA'!N73)/'Total GW EIA'!$P74,0)</f>
        <v>8.357000943404639E-3</v>
      </c>
      <c r="O64">
        <f>IF(AND(ISNUMBER('Total GW EIA'!O74),ISNUMBER('Total GW EIA'!O73),'Total GW EIA'!O73&gt;0),('Total GW EIA'!O74 - 'Total GW EIA'!O73)/'Total GW EIA'!$P74,0)</f>
        <v>0</v>
      </c>
      <c r="P64">
        <f>IF(AND(ISNUMBER('Total GW EIA'!P74),ISNUMBER('Total GW EIA'!P73),'Total GW EIA'!P73&gt;0),('Total GW EIA'!P74 - 'Total GW EIA'!P73)/'Total GW EIA'!$P74,0)</f>
        <v>1.5127141840341944E-2</v>
      </c>
    </row>
    <row r="65" spans="1:16" x14ac:dyDescent="0.85">
      <c r="A65" s="271">
        <v>2009</v>
      </c>
      <c r="B65">
        <f>IF(AND(ISNUMBER('Total GW EIA'!B75),ISNUMBER('Total GW EIA'!B74),'Total GW EIA'!B74&gt;0),('Total GW EIA'!B75 - 'Total GW EIA'!B74)/'Total GW EIA'!$P75,0)</f>
        <v>9.4792276184901489E-4</v>
      </c>
      <c r="C65">
        <f>IF(AND(ISNUMBER('Total GW EIA'!C75),ISNUMBER('Total GW EIA'!C74),'Total GW EIA'!C74&gt;0),('Total GW EIA'!C75 - 'Total GW EIA'!C74)/'Total GW EIA'!$P75,0)</f>
        <v>-6.4755217476107022E-4</v>
      </c>
      <c r="D65">
        <f>IF(AND(ISNUMBER('Total GW EIA'!D75),ISNUMBER('Total GW EIA'!D74),'Total GW EIA'!D74&gt;0),('Total GW EIA'!D75 - 'Total GW EIA'!D74)/'Total GW EIA'!$P75,0)</f>
        <v>3.6532085039984205E-3</v>
      </c>
      <c r="E65">
        <f>IF(AND(ISNUMBER('Total GW EIA'!E75),ISNUMBER('Total GW EIA'!E74),'Total GW EIA'!E74&gt;0),('Total GW EIA'!E75 - 'Total GW EIA'!E74)/'Total GW EIA'!$P75,0)</f>
        <v>3.8931148819972318E-3</v>
      </c>
      <c r="F65">
        <f>IF(AND(ISNUMBER('Total GW EIA'!F75),ISNUMBER('Total GW EIA'!F74),'Total GW EIA'!F74&gt;0),('Total GW EIA'!F75 - 'Total GW EIA'!F74)/'Total GW EIA'!$P75,0)</f>
        <v>2.4283206553541001E-4</v>
      </c>
      <c r="G65">
        <f>IF(AND(ISNUMBER('Total GW EIA'!G75),ISNUMBER('Total GW EIA'!G74),'Total GW EIA'!G74&gt;0),('Total GW EIA'!G75 - 'Total GW EIA'!G74)/'Total GW EIA'!$P75,0)</f>
        <v>2.9451921201482305E-4</v>
      </c>
      <c r="H65">
        <f>IF(AND(ISNUMBER('Total GW EIA'!H75),ISNUMBER('Total GW EIA'!H74),'Total GW EIA'!H74&gt;0),('Total GW EIA'!H75 - 'Total GW EIA'!H74)/'Total GW EIA'!$P75,0)</f>
        <v>5.7343475716792845E-4</v>
      </c>
      <c r="I65">
        <f>IF(AND(ISNUMBER('Total GW EIA'!I75),ISNUMBER('Total GW EIA'!I74),'Total GW EIA'!I74&gt;0),('Total GW EIA'!I75 - 'Total GW EIA'!I74)/'Total GW EIA'!$P75,0)</f>
        <v>7.3142188414277519E-5</v>
      </c>
      <c r="J65">
        <f>IF(AND(ISNUMBER('Total GW EIA'!J75),ISNUMBER('Total GW EIA'!J74),'Total GW EIA'!J74&gt;0),('Total GW EIA'!J75 - 'Total GW EIA'!J74)/'Total GW EIA'!$P75,0)</f>
        <v>1.2775502243027133E-4</v>
      </c>
      <c r="K65">
        <f>IF(AND(ISNUMBER('Total GW EIA'!K75),ISNUMBER('Total GW EIA'!K74),'Total GW EIA'!K74&gt;0),('Total GW EIA'!K75 - 'Total GW EIA'!K74)/'Total GW EIA'!$P75,0)</f>
        <v>1.4921006436512582E-4</v>
      </c>
      <c r="L65">
        <f>IF(AND(ISNUMBER('Total GW EIA'!L75),ISNUMBER('Total GW EIA'!L74),'Total GW EIA'!L74&gt;0),('Total GW EIA'!L75 - 'Total GW EIA'!L74)/'Total GW EIA'!$P75,0)</f>
        <v>8.0944021845133561E-5</v>
      </c>
      <c r="M65">
        <f>IF(AND(ISNUMBER('Total GW EIA'!M75),ISNUMBER('Total GW EIA'!M74),'Total GW EIA'!M74&gt;0),('Total GW EIA'!M75 - 'Total GW EIA'!M74)/'Total GW EIA'!$P75,0)</f>
        <v>9.4060854300760666E-3</v>
      </c>
      <c r="N65">
        <f>IF(AND(ISNUMBER('Total GW EIA'!N75),ISNUMBER('Total GW EIA'!N74),'Total GW EIA'!N74&gt;0),('Total GW EIA'!N75 - 'Total GW EIA'!N74)/'Total GW EIA'!$P75,0)</f>
        <v>1.0409596255119944E-2</v>
      </c>
      <c r="O65">
        <f>IF(AND(ISNUMBER('Total GW EIA'!O75),ISNUMBER('Total GW EIA'!O74),'Total GW EIA'!O74&gt;0),('Total GW EIA'!O75 - 'Total GW EIA'!O74)/'Total GW EIA'!$P75,0)</f>
        <v>0</v>
      </c>
      <c r="P65">
        <f>IF(AND(ISNUMBER('Total GW EIA'!P75),ISNUMBER('Total GW EIA'!P74),'Total GW EIA'!P74&gt;0),('Total GW EIA'!P75 - 'Total GW EIA'!P74)/'Total GW EIA'!$P75,0)</f>
        <v>1.4851765164813771E-2</v>
      </c>
    </row>
    <row r="66" spans="1:16" x14ac:dyDescent="0.85">
      <c r="A66" s="271">
        <v>2010</v>
      </c>
      <c r="B66">
        <f>IF(AND(ISNUMBER('Total GW EIA'!B76),ISNUMBER('Total GW EIA'!B75),'Total GW EIA'!B75&gt;0),('Total GW EIA'!B76 - 'Total GW EIA'!B75)/'Total GW EIA'!$P76,0)</f>
        <v>2.9305277259682448E-3</v>
      </c>
      <c r="C66">
        <f>IF(AND(ISNUMBER('Total GW EIA'!C76),ISNUMBER('Total GW EIA'!C75),'Total GW EIA'!C75&gt;0),('Total GW EIA'!C76 - 'Total GW EIA'!C75)/'Total GW EIA'!$P76,0)</f>
        <v>-1.0913689462226513E-3</v>
      </c>
      <c r="D66">
        <f>IF(AND(ISNUMBER('Total GW EIA'!D76),ISNUMBER('Total GW EIA'!D75),'Total GW EIA'!D75&gt;0),('Total GW EIA'!D76 - 'Total GW EIA'!D75)/'Total GW EIA'!$P76,0)</f>
        <v>4.0247838916253479E-3</v>
      </c>
      <c r="E66">
        <f>IF(AND(ISNUMBER('Total GW EIA'!E76),ISNUMBER('Total GW EIA'!E75),'Total GW EIA'!E75&gt;0),('Total GW EIA'!E76 - 'Total GW EIA'!E75)/'Total GW EIA'!$P76,0)</f>
        <v>6.0852961613455017E-3</v>
      </c>
      <c r="F66">
        <f>IF(AND(ISNUMBER('Total GW EIA'!F76),ISNUMBER('Total GW EIA'!F75),'Total GW EIA'!F75&gt;0),('Total GW EIA'!F76 - 'Total GW EIA'!F75)/'Total GW EIA'!$P76,0)</f>
        <v>1.5687225593852603E-4</v>
      </c>
      <c r="G66">
        <f>IF(AND(ISNUMBER('Total GW EIA'!G76),ISNUMBER('Total GW EIA'!G75),'Total GW EIA'!G75&gt;0),('Total GW EIA'!G76 - 'Total GW EIA'!G75)/'Total GW EIA'!$P76,0)</f>
        <v>3.7533852647870367E-5</v>
      </c>
      <c r="H66">
        <f>IF(AND(ISNUMBER('Total GW EIA'!H76),ISNUMBER('Total GW EIA'!H75),'Total GW EIA'!H75&gt;0),('Total GW EIA'!H76 - 'Total GW EIA'!H75)/'Total GW EIA'!$P76,0)</f>
        <v>2.9545878879220122E-4</v>
      </c>
      <c r="I66">
        <f>IF(AND(ISNUMBER('Total GW EIA'!I76),ISNUMBER('Total GW EIA'!I75),'Total GW EIA'!I75&gt;0),('Total GW EIA'!I76 - 'Total GW EIA'!I75)/'Total GW EIA'!$P76,0)</f>
        <v>9.4315834858747476E-5</v>
      </c>
      <c r="J66">
        <f>IF(AND(ISNUMBER('Total GW EIA'!J76),ISNUMBER('Total GW EIA'!J75),'Total GW EIA'!J75&gt;0),('Total GW EIA'!J76 - 'Total GW EIA'!J75)/'Total GW EIA'!$P76,0)</f>
        <v>5.0045136863824879E-5</v>
      </c>
      <c r="K66">
        <f>IF(AND(ISNUMBER('Total GW EIA'!K76),ISNUMBER('Total GW EIA'!K75),'Total GW EIA'!K75&gt;0),('Total GW EIA'!K76 - 'Total GW EIA'!K75)/'Total GW EIA'!$P76,0)</f>
        <v>2.2135348997460872E-5</v>
      </c>
      <c r="L66">
        <f>IF(AND(ISNUMBER('Total GW EIA'!L76),ISNUMBER('Total GW EIA'!L75),'Total GW EIA'!L75&gt;0),('Total GW EIA'!L76 - 'Total GW EIA'!L75)/'Total GW EIA'!$P76,0)</f>
        <v>2.3771440010317E-4</v>
      </c>
      <c r="M66">
        <f>IF(AND(ISNUMBER('Total GW EIA'!M76),ISNUMBER('Total GW EIA'!M75),'Total GW EIA'!M75&gt;0),('Total GW EIA'!M76 - 'Total GW EIA'!M75)/'Total GW EIA'!$P76,0)</f>
        <v>4.6570849477701997E-3</v>
      </c>
      <c r="N66">
        <f>IF(AND(ISNUMBER('Total GW EIA'!N76),ISNUMBER('Total GW EIA'!N75),'Total GW EIA'!N75&gt;0),('Total GW EIA'!N76 - 'Total GW EIA'!N75)/'Total GW EIA'!$P76,0)</f>
        <v>5.3567544573856068E-3</v>
      </c>
      <c r="O66">
        <f>IF(AND(ISNUMBER('Total GW EIA'!O76),ISNUMBER('Total GW EIA'!O75),'Total GW EIA'!O75&gt;0),('Total GW EIA'!O76 - 'Total GW EIA'!O75)/'Total GW EIA'!$P76,0)</f>
        <v>0</v>
      </c>
      <c r="P66">
        <f>IF(AND(ISNUMBER('Total GW EIA'!P76),ISNUMBER('Total GW EIA'!P75),'Total GW EIA'!P75&gt;0),('Total GW EIA'!P76 - 'Total GW EIA'!P75)/'Total GW EIA'!$P76,0)</f>
        <v>1.3148397304491752E-2</v>
      </c>
    </row>
    <row r="67" spans="1:16" x14ac:dyDescent="0.85">
      <c r="A67" s="271">
        <v>2011</v>
      </c>
      <c r="B67">
        <f>IF(AND(ISNUMBER('Total GW EIA'!B77),ISNUMBER('Total GW EIA'!B76),'Total GW EIA'!B76&gt;0),('Total GW EIA'!B77 - 'Total GW EIA'!B76)/'Total GW EIA'!$P77,0)</f>
        <v>2.8632553024918666E-4</v>
      </c>
      <c r="C67">
        <f>IF(AND(ISNUMBER('Total GW EIA'!C77),ISNUMBER('Total GW EIA'!C76),'Total GW EIA'!C76&gt;0),('Total GW EIA'!C77 - 'Total GW EIA'!C76)/'Total GW EIA'!$P77,0)</f>
        <v>-3.9619462906575111E-3</v>
      </c>
      <c r="D67">
        <f>IF(AND(ISNUMBER('Total GW EIA'!D77),ISNUMBER('Total GW EIA'!D76),'Total GW EIA'!D76&gt;0),('Total GW EIA'!D77 - 'Total GW EIA'!D76)/'Total GW EIA'!$P77,0)</f>
        <v>9.5876246491084921E-3</v>
      </c>
      <c r="E67">
        <f>IF(AND(ISNUMBER('Total GW EIA'!E77),ISNUMBER('Total GW EIA'!E76),'Total GW EIA'!E76&gt;0),('Total GW EIA'!E77 - 'Total GW EIA'!E76)/'Total GW EIA'!$P77,0)</f>
        <v>5.6951194338934908E-3</v>
      </c>
      <c r="F67">
        <f>IF(AND(ISNUMBER('Total GW EIA'!F77),ISNUMBER('Total GW EIA'!F76),'Total GW EIA'!F76&gt;0),('Total GW EIA'!F77 - 'Total GW EIA'!F76)/'Total GW EIA'!$P77,0)</f>
        <v>2.3971439741792905E-4</v>
      </c>
      <c r="G67">
        <f>IF(AND(ISNUMBER('Total GW EIA'!G77),ISNUMBER('Total GW EIA'!G76),'Total GW EIA'!G76&gt;0),('Total GW EIA'!G77 - 'Total GW EIA'!G76)/'Total GW EIA'!$P77,0)</f>
        <v>8.9417275227322149E-5</v>
      </c>
      <c r="H67">
        <f>IF(AND(ISNUMBER('Total GW EIA'!H77),ISNUMBER('Total GW EIA'!H76),'Total GW EIA'!H76&gt;0),('Total GW EIA'!H77 - 'Total GW EIA'!H76)/'Total GW EIA'!$P77,0)</f>
        <v>-1.6456583632263068E-4</v>
      </c>
      <c r="I67">
        <f>IF(AND(ISNUMBER('Total GW EIA'!I77),ISNUMBER('Total GW EIA'!I76),'Total GW EIA'!I76&gt;0),('Total GW EIA'!I77 - 'Total GW EIA'!I76)/'Total GW EIA'!$P77,0)</f>
        <v>3.8049904352052969E-5</v>
      </c>
      <c r="J67">
        <f>IF(AND(ISNUMBER('Total GW EIA'!J77),ISNUMBER('Total GW EIA'!J76),'Total GW EIA'!J76&gt;0),('Total GW EIA'!J77 - 'Total GW EIA'!J76)/'Total GW EIA'!$P77,0)</f>
        <v>1.5885835066982082E-4</v>
      </c>
      <c r="K67">
        <f>IF(AND(ISNUMBER('Total GW EIA'!K77),ISNUMBER('Total GW EIA'!K76),'Total GW EIA'!K76&gt;0),('Total GW EIA'!K77 - 'Total GW EIA'!K76)/'Total GW EIA'!$P77,0)</f>
        <v>3.8049904352052968E-6</v>
      </c>
      <c r="L67">
        <f>IF(AND(ISNUMBER('Total GW EIA'!L77),ISNUMBER('Total GW EIA'!L76),'Total GW EIA'!L76&gt;0),('Total GW EIA'!L77 - 'Total GW EIA'!L76)/'Total GW EIA'!$P77,0)</f>
        <v>6.259209265912708E-4</v>
      </c>
      <c r="M67">
        <f>IF(AND(ISNUMBER('Total GW EIA'!M77),ISNUMBER('Total GW EIA'!M76),'Total GW EIA'!M76&gt;0),('Total GW EIA'!M77 - 'Total GW EIA'!M76)/'Total GW EIA'!$P77,0)</f>
        <v>6.22211060916946E-3</v>
      </c>
      <c r="N67">
        <f>IF(AND(ISNUMBER('Total GW EIA'!N77),ISNUMBER('Total GW EIA'!N76),'Total GW EIA'!N76&gt;0),('Total GW EIA'!N77 - 'Total GW EIA'!N76)/'Total GW EIA'!$P77,0)</f>
        <v>6.8841789448951729E-3</v>
      </c>
      <c r="O67">
        <f>IF(AND(ISNUMBER('Total GW EIA'!O77),ISNUMBER('Total GW EIA'!O76),'Total GW EIA'!O76&gt;0),('Total GW EIA'!O77 - 'Total GW EIA'!O76)/'Total GW EIA'!$P77,0)</f>
        <v>3.8049904352052941E-5</v>
      </c>
      <c r="P67">
        <f>IF(AND(ISNUMBER('Total GW EIA'!P77),ISNUMBER('Total GW EIA'!P76),'Total GW EIA'!P76&gt;0),('Total GW EIA'!P77 - 'Total GW EIA'!P76)/'Total GW EIA'!$P77,0)</f>
        <v>1.1594757103679406E-2</v>
      </c>
    </row>
    <row r="68" spans="1:16" x14ac:dyDescent="0.85">
      <c r="A68" s="271">
        <v>2012</v>
      </c>
      <c r="B68">
        <f>IF(AND(ISNUMBER('Total GW EIA'!B78),ISNUMBER('Total GW EIA'!B77),'Total GW EIA'!B77&gt;0),('Total GW EIA'!B78 - 'Total GW EIA'!B77)/'Total GW EIA'!$P78,0)</f>
        <v>-7.4880083685078267E-3</v>
      </c>
      <c r="C68">
        <f>IF(AND(ISNUMBER('Total GW EIA'!C78),ISNUMBER('Total GW EIA'!C77),'Total GW EIA'!C77&gt;0),('Total GW EIA'!C78 - 'Total GW EIA'!C77)/'Total GW EIA'!$P78,0)</f>
        <v>-4.0591402148381075E-3</v>
      </c>
      <c r="D68">
        <f>IF(AND(ISNUMBER('Total GW EIA'!D78),ISNUMBER('Total GW EIA'!D77),'Total GW EIA'!D77&gt;0),('Total GW EIA'!D78 - 'Total GW EIA'!D77)/'Total GW EIA'!$P78,0)</f>
        <v>6.7476738727772351E-3</v>
      </c>
      <c r="E68">
        <f>IF(AND(ISNUMBER('Total GW EIA'!E78),ISNUMBER('Total GW EIA'!E77),'Total GW EIA'!E77&gt;0),('Total GW EIA'!E78 - 'Total GW EIA'!E77)/'Total GW EIA'!$P78,0)</f>
        <v>-4.7872455511728633E-3</v>
      </c>
      <c r="F68">
        <f>IF(AND(ISNUMBER('Total GW EIA'!F78),ISNUMBER('Total GW EIA'!F77),'Total GW EIA'!F77&gt;0),('Total GW EIA'!F78 - 'Total GW EIA'!F77)/'Total GW EIA'!$P78,0)</f>
        <v>4.3836832911114542E-4</v>
      </c>
      <c r="G68">
        <f>IF(AND(ISNUMBER('Total GW EIA'!G78),ISNUMBER('Total GW EIA'!G77),'Total GW EIA'!G77&gt;0),('Total GW EIA'!G78 - 'Total GW EIA'!G77)/'Total GW EIA'!$P78,0)</f>
        <v>7.0552842668100891E-5</v>
      </c>
      <c r="H68">
        <f>IF(AND(ISNUMBER('Total GW EIA'!H78),ISNUMBER('Total GW EIA'!H77),'Total GW EIA'!H77&gt;0),('Total GW EIA'!H78 - 'Total GW EIA'!H77)/'Total GW EIA'!$P78,0)</f>
        <v>8.0900592926088396E-5</v>
      </c>
      <c r="I68">
        <f>IF(AND(ISNUMBER('Total GW EIA'!I78),ISNUMBER('Total GW EIA'!I77),'Total GW EIA'!I77&gt;0),('Total GW EIA'!I78 - 'Total GW EIA'!I77)/'Total GW EIA'!$P78,0)</f>
        <v>4.0544366919935702E-4</v>
      </c>
      <c r="J68">
        <f>IF(AND(ISNUMBER('Total GW EIA'!J78),ISNUMBER('Total GW EIA'!J77),'Total GW EIA'!J77&gt;0),('Total GW EIA'!J78 - 'Total GW EIA'!J77)/'Total GW EIA'!$P78,0)</f>
        <v>2.5869375644970604E-4</v>
      </c>
      <c r="K68">
        <f>IF(AND(ISNUMBER('Total GW EIA'!K78),ISNUMBER('Total GW EIA'!K77),'Total GW EIA'!K77&gt;0),('Total GW EIA'!K78 - 'Total GW EIA'!K77)/'Total GW EIA'!$P78,0)</f>
        <v>1.7214893611016807E-4</v>
      </c>
      <c r="L68">
        <f>IF(AND(ISNUMBER('Total GW EIA'!L78),ISNUMBER('Total GW EIA'!L77),'Total GW EIA'!L77&gt;0),('Total GW EIA'!L78 - 'Total GW EIA'!L77)/'Total GW EIA'!$P78,0)</f>
        <v>1.5483997204226022E-3</v>
      </c>
      <c r="M68">
        <f>IF(AND(ISNUMBER('Total GW EIA'!M78),ISNUMBER('Total GW EIA'!M77),'Total GW EIA'!M77&gt;0),('Total GW EIA'!M78 - 'Total GW EIA'!M77)/'Total GW EIA'!$P78,0)</f>
        <v>1.2604500518798571E-2</v>
      </c>
      <c r="N68">
        <f>IF(AND(ISNUMBER('Total GW EIA'!N78),ISNUMBER('Total GW EIA'!N77),'Total GW EIA'!N77&gt;0),('Total GW EIA'!N78 - 'Total GW EIA'!N77)/'Total GW EIA'!$P78,0)</f>
        <v>1.5070087193906503E-2</v>
      </c>
      <c r="O68">
        <f>IF(AND(ISNUMBER('Total GW EIA'!O78),ISNUMBER('Total GW EIA'!O77),'Total GW EIA'!O77&gt;0),('Total GW EIA'!O78 - 'Total GW EIA'!O77)/'Total GW EIA'!$P78,0)</f>
        <v>6.9612138099193522E-5</v>
      </c>
      <c r="P68">
        <f>IF(AND(ISNUMBER('Total GW EIA'!P78),ISNUMBER('Total GW EIA'!P77),'Total GW EIA'!P77&gt;0),('Total GW EIA'!P78 - 'Total GW EIA'!P77)/'Total GW EIA'!$P78,0)</f>
        <v>1.1083381230874231E-2</v>
      </c>
    </row>
    <row r="69" spans="1:16" x14ac:dyDescent="0.85">
      <c r="A69" s="271">
        <v>2013</v>
      </c>
      <c r="B69">
        <f>IF(AND(ISNUMBER('Total GW EIA'!B79),ISNUMBER('Total GW EIA'!B78),'Total GW EIA'!B78&gt;0),('Total GW EIA'!B79 - 'Total GW EIA'!B78)/'Total GW EIA'!$P79,0)</f>
        <v>-6.0128445075014556E-3</v>
      </c>
      <c r="C69">
        <f>IF(AND(ISNUMBER('Total GW EIA'!C79),ISNUMBER('Total GW EIA'!C78),'Total GW EIA'!C78&gt;0),('Total GW EIA'!C79 - 'Total GW EIA'!C78)/'Total GW EIA'!$P79,0)</f>
        <v>-3.4375283001781007E-3</v>
      </c>
      <c r="D69">
        <f>IF(AND(ISNUMBER('Total GW EIA'!D79),ISNUMBER('Total GW EIA'!D78),'Total GW EIA'!D78&gt;0),('Total GW EIA'!D79 - 'Total GW EIA'!D78)/'Total GW EIA'!$P79,0)</f>
        <v>2.8545446312675557E-3</v>
      </c>
      <c r="E69">
        <f>IF(AND(ISNUMBER('Total GW EIA'!E79),ISNUMBER('Total GW EIA'!E78),'Total GW EIA'!E78&gt;0),('Total GW EIA'!E79 - 'Total GW EIA'!E78)/'Total GW EIA'!$P79,0)</f>
        <v>-6.4439505539288355E-3</v>
      </c>
      <c r="F69">
        <f>IF(AND(ISNUMBER('Total GW EIA'!F79),ISNUMBER('Total GW EIA'!F78),'Total GW EIA'!F78&gt;0),('Total GW EIA'!F79 - 'Total GW EIA'!F78)/'Total GW EIA'!$P79,0)</f>
        <v>-2.4951323693663875E-3</v>
      </c>
      <c r="G69">
        <f>IF(AND(ISNUMBER('Total GW EIA'!G79),ISNUMBER('Total GW EIA'!G78),'Total GW EIA'!G78&gt;0),('Total GW EIA'!G79 - 'Total GW EIA'!G78)/'Total GW EIA'!$P79,0)</f>
        <v>1.9810124671718683E-5</v>
      </c>
      <c r="H69">
        <f>IF(AND(ISNUMBER('Total GW EIA'!H79),ISNUMBER('Total GW EIA'!H78),'Total GW EIA'!H78&gt;0),('Total GW EIA'!H79 - 'Total GW EIA'!H78)/'Total GW EIA'!$P79,0)</f>
        <v>4.3582274277779765E-4</v>
      </c>
      <c r="I69">
        <f>IF(AND(ISNUMBER('Total GW EIA'!I79),ISNUMBER('Total GW EIA'!I78),'Total GW EIA'!I78&gt;0),('Total GW EIA'!I79 - 'Total GW EIA'!I78)/'Total GW EIA'!$P79,0)</f>
        <v>7.9806502248920737E-4</v>
      </c>
      <c r="J69">
        <f>IF(AND(ISNUMBER('Total GW EIA'!J79),ISNUMBER('Total GW EIA'!J78),'Total GW EIA'!J78&gt;0),('Total GW EIA'!J79 - 'Total GW EIA'!J78)/'Total GW EIA'!$P79,0)</f>
        <v>2.1885471065897927E-4</v>
      </c>
      <c r="K69">
        <f>IF(AND(ISNUMBER('Total GW EIA'!K79),ISNUMBER('Total GW EIA'!K78),'Total GW EIA'!K78&gt;0),('Total GW EIA'!K79 - 'Total GW EIA'!K78)/'Total GW EIA'!$P79,0)</f>
        <v>1.4150089051227213E-5</v>
      </c>
      <c r="L69">
        <f>IF(AND(ISNUMBER('Total GW EIA'!L79),ISNUMBER('Total GW EIA'!L78),'Total GW EIA'!L78&gt;0),('Total GW EIA'!L79 - 'Total GW EIA'!L78)/'Total GW EIA'!$P79,0)</f>
        <v>3.2573504995924776E-3</v>
      </c>
      <c r="M69">
        <f>IF(AND(ISNUMBER('Total GW EIA'!M79),ISNUMBER('Total GW EIA'!M78),'Total GW EIA'!M78&gt;0),('Total GW EIA'!M79 - 'Total GW EIA'!M78)/'Total GW EIA'!$P79,0)</f>
        <v>8.4711866453345843E-4</v>
      </c>
      <c r="N69">
        <f>IF(AND(ISNUMBER('Total GW EIA'!N79),ISNUMBER('Total GW EIA'!N78),'Total GW EIA'!N78&gt;0),('Total GW EIA'!N79 - 'Total GW EIA'!N78)/'Total GW EIA'!$P79,0)</f>
        <v>5.5723050683732398E-3</v>
      </c>
      <c r="O69">
        <f>IF(AND(ISNUMBER('Total GW EIA'!O79),ISNUMBER('Total GW EIA'!O78),'Total GW EIA'!O78&gt;0),('Total GW EIA'!O79 - 'Total GW EIA'!O78)/'Total GW EIA'!$P79,0)</f>
        <v>3.7733570803272286E-6</v>
      </c>
      <c r="P69">
        <f>IF(AND(ISNUMBER('Total GW EIA'!P79),ISNUMBER('Total GW EIA'!P78),'Total GW EIA'!P78&gt;0),('Total GW EIA'!P79 - 'Total GW EIA'!P78)/'Total GW EIA'!$P79,0)</f>
        <v>-2.8007742928727163E-3</v>
      </c>
    </row>
    <row r="70" spans="1:16" x14ac:dyDescent="0.85">
      <c r="A70" s="271">
        <v>2014</v>
      </c>
      <c r="B70">
        <f>IF(AND(ISNUMBER('Total GW EIA'!B80),ISNUMBER('Total GW EIA'!B79),'Total GW EIA'!B79&gt;0),('Total GW EIA'!B80 - 'Total GW EIA'!B79)/'Total GW EIA'!$P80,0)</f>
        <v>-3.942262514249977E-3</v>
      </c>
      <c r="C70">
        <f>IF(AND(ISNUMBER('Total GW EIA'!C80),ISNUMBER('Total GW EIA'!C79),'Total GW EIA'!C79&gt;0),('Total GW EIA'!C80 - 'Total GW EIA'!C79)/'Total GW EIA'!$P80,0)</f>
        <v>-2.2350719097884593E-3</v>
      </c>
      <c r="D70">
        <f>IF(AND(ISNUMBER('Total GW EIA'!D80),ISNUMBER('Total GW EIA'!D79),'Total GW EIA'!D79&gt;0),('Total GW EIA'!D80 - 'Total GW EIA'!D79)/'Total GW EIA'!$P80,0)</f>
        <v>6.3270879858333042E-3</v>
      </c>
      <c r="E70">
        <f>IF(AND(ISNUMBER('Total GW EIA'!E80),ISNUMBER('Total GW EIA'!E79),'Total GW EIA'!E79&gt;0),('Total GW EIA'!E80 - 'Total GW EIA'!E79)/'Total GW EIA'!$P80,0)</f>
        <v>-3.0886672120206681E-5</v>
      </c>
      <c r="F70">
        <f>IF(AND(ISNUMBER('Total GW EIA'!F80),ISNUMBER('Total GW EIA'!F79),'Total GW EIA'!F79&gt;0),('Total GW EIA'!F80 - 'Total GW EIA'!F79)/'Total GW EIA'!$P80,0)</f>
        <v>-6.2802899977723429E-4</v>
      </c>
      <c r="G70">
        <f>IF(AND(ISNUMBER('Total GW EIA'!G80),ISNUMBER('Total GW EIA'!G79),'Total GW EIA'!G79&gt;0),('Total GW EIA'!G80 - 'Total GW EIA'!G79)/'Total GW EIA'!$P80,0)</f>
        <v>8.5172338270834064E-5</v>
      </c>
      <c r="H70">
        <f>IF(AND(ISNUMBER('Total GW EIA'!H80),ISNUMBER('Total GW EIA'!H79),'Total GW EIA'!H79&gt;0),('Total GW EIA'!H80 - 'Total GW EIA'!H79)/'Total GW EIA'!$P80,0)</f>
        <v>4.5206856466827158E-4</v>
      </c>
      <c r="I70">
        <f>IF(AND(ISNUMBER('Total GW EIA'!I80),ISNUMBER('Total GW EIA'!I79),'Total GW EIA'!I79&gt;0),('Total GW EIA'!I80 - 'Total GW EIA'!I79)/'Total GW EIA'!$P80,0)</f>
        <v>1.3103436657052291E-5</v>
      </c>
      <c r="J70">
        <f>IF(AND(ISNUMBER('Total GW EIA'!J80),ISNUMBER('Total GW EIA'!J79),'Total GW EIA'!J79&gt;0),('Total GW EIA'!J80 - 'Total GW EIA'!J79)/'Total GW EIA'!$P80,0)</f>
        <v>1.1605901039102495E-4</v>
      </c>
      <c r="K70">
        <f>IF(AND(ISNUMBER('Total GW EIA'!K80),ISNUMBER('Total GW EIA'!K79),'Total GW EIA'!K79&gt;0),('Total GW EIA'!K80 - 'Total GW EIA'!K79)/'Total GW EIA'!$P80,0)</f>
        <v>-8.7044257793269345E-5</v>
      </c>
      <c r="L70">
        <f>IF(AND(ISNUMBER('Total GW EIA'!L80),ISNUMBER('Total GW EIA'!L79),'Total GW EIA'!L79&gt;0),('Total GW EIA'!L80 - 'Total GW EIA'!L79)/'Total GW EIA'!$P80,0)</f>
        <v>3.4630511165063991E-3</v>
      </c>
      <c r="M70">
        <f>IF(AND(ISNUMBER('Total GW EIA'!M80),ISNUMBER('Total GW EIA'!M79),'Total GW EIA'!M79&gt;0),('Total GW EIA'!M80 - 'Total GW EIA'!M79)/'Total GW EIA'!$P80,0)</f>
        <v>3.9862526230272314E-3</v>
      </c>
      <c r="N70">
        <f>IF(AND(ISNUMBER('Total GW EIA'!N80),ISNUMBER('Total GW EIA'!N79),'Total GW EIA'!N79&gt;0),('Total GW EIA'!N80 - 'Total GW EIA'!N79)/'Total GW EIA'!$P80,0)</f>
        <v>7.9425545336954777E-3</v>
      </c>
      <c r="O70">
        <f>IF(AND(ISNUMBER('Total GW EIA'!O80),ISNUMBER('Total GW EIA'!O79),'Total GW EIA'!O79&gt;0),('Total GW EIA'!O80 - 'Total GW EIA'!O79)/'Total GW EIA'!$P80,0)</f>
        <v>9.3595976121794655E-6</v>
      </c>
      <c r="P70">
        <f>IF(AND(ISNUMBER('Total GW EIA'!P80),ISNUMBER('Total GW EIA'!P79),'Total GW EIA'!P79&gt;0),('Total GW EIA'!P80 - 'Total GW EIA'!P79)/'Total GW EIA'!$P80,0)</f>
        <v>7.8227516842595407E-3</v>
      </c>
    </row>
    <row r="71" spans="1:16" x14ac:dyDescent="0.85">
      <c r="A71" s="271">
        <v>2015</v>
      </c>
      <c r="B71">
        <f>IF(AND(ISNUMBER('Total GW EIA'!B81),ISNUMBER('Total GW EIA'!B80),'Total GW EIA'!B80&gt;0),('Total GW EIA'!B81 - 'Total GW EIA'!B80)/'Total GW EIA'!$P81,0)</f>
        <v>-1.8207705428760698E-2</v>
      </c>
      <c r="C71">
        <f>IF(AND(ISNUMBER('Total GW EIA'!C81),ISNUMBER('Total GW EIA'!C80),'Total GW EIA'!C80&gt;0),('Total GW EIA'!C81 - 'Total GW EIA'!C80)/'Total GW EIA'!$P81,0)</f>
        <v>-4.0458434949321226E-3</v>
      </c>
      <c r="D71">
        <f>IF(AND(ISNUMBER('Total GW EIA'!D81),ISNUMBER('Total GW EIA'!D80),'Total GW EIA'!D80&gt;0),('Total GW EIA'!D81 - 'Total GW EIA'!D80)/'Total GW EIA'!$P81,0)</f>
        <v>6.8370525959654659E-3</v>
      </c>
      <c r="E71">
        <f>IF(AND(ISNUMBER('Total GW EIA'!E81),ISNUMBER('Total GW EIA'!E80),'Total GW EIA'!E80&gt;0),('Total GW EIA'!E81 - 'Total GW EIA'!E80)/'Total GW EIA'!$P81,0)</f>
        <v>-1.4865772915873694E-2</v>
      </c>
      <c r="F71">
        <f>IF(AND(ISNUMBER('Total GW EIA'!F81),ISNUMBER('Total GW EIA'!F80),'Total GW EIA'!F80&gt;0),('Total GW EIA'!F81 - 'Total GW EIA'!F80)/'Total GW EIA'!$P81,0)</f>
        <v>9.6799507544247644E-5</v>
      </c>
      <c r="G71">
        <f>IF(AND(ISNUMBER('Total GW EIA'!G81),ISNUMBER('Total GW EIA'!G80),'Total GW EIA'!G80&gt;0),('Total GW EIA'!G81 - 'Total GW EIA'!G80)/'Total GW EIA'!$P81,0)</f>
        <v>8.4582093970706268E-5</v>
      </c>
      <c r="H71">
        <f>IF(AND(ISNUMBER('Total GW EIA'!H81),ISNUMBER('Total GW EIA'!H80),'Total GW EIA'!H80&gt;0),('Total GW EIA'!H81 - 'Total GW EIA'!H80)/'Total GW EIA'!$P81,0)</f>
        <v>-1.2217413573551394E-5</v>
      </c>
      <c r="I71">
        <f>IF(AND(ISNUMBER('Total GW EIA'!I81),ISNUMBER('Total GW EIA'!I80),'Total GW EIA'!I80&gt;0),('Total GW EIA'!I81 - 'Total GW EIA'!I80)/'Total GW EIA'!$P81,0)</f>
        <v>5.6482042751549409E-4</v>
      </c>
      <c r="J71">
        <f>IF(AND(ISNUMBER('Total GW EIA'!J81),ISNUMBER('Total GW EIA'!J80),'Total GW EIA'!J80&gt;0),('Total GW EIA'!J81 - 'Total GW EIA'!J80)/'Total GW EIA'!$P81,0)</f>
        <v>-3.9471643852996141E-5</v>
      </c>
      <c r="K71">
        <f>IF(AND(ISNUMBER('Total GW EIA'!K81),ISNUMBER('Total GW EIA'!K80),'Total GW EIA'!K80&gt;0),('Total GW EIA'!K81 - 'Total GW EIA'!K80)/'Total GW EIA'!$P81,0)</f>
        <v>2.6314429235330902E-5</v>
      </c>
      <c r="L71">
        <f>IF(AND(ISNUMBER('Total GW EIA'!L81),ISNUMBER('Total GW EIA'!L80),'Total GW EIA'!L80&gt;0),('Total GW EIA'!L81 - 'Total GW EIA'!L80)/'Total GW EIA'!$P81,0)</f>
        <v>3.1389354873573262E-3</v>
      </c>
      <c r="M71">
        <f>IF(AND(ISNUMBER('Total GW EIA'!M81),ISNUMBER('Total GW EIA'!M80),'Total GW EIA'!M80&gt;0),('Total GW EIA'!M81 - 'Total GW EIA'!M80)/'Total GW EIA'!$P81,0)</f>
        <v>7.8388805089962387E-3</v>
      </c>
      <c r="N71">
        <f>IF(AND(ISNUMBER('Total GW EIA'!N81),ISNUMBER('Total GW EIA'!N80),'Total GW EIA'!N80&gt;0),('Total GW EIA'!N81 - 'Total GW EIA'!N80)/'Total GW EIA'!$P81,0)</f>
        <v>1.1517261795677851E-2</v>
      </c>
      <c r="O71">
        <f>IF(AND(ISNUMBER('Total GW EIA'!O81),ISNUMBER('Total GW EIA'!O80),'Total GW EIA'!O80&gt;0),('Total GW EIA'!O81 - 'Total GW EIA'!O80)/'Total GW EIA'!$P81,0)</f>
        <v>1.2781294200017853E-4</v>
      </c>
      <c r="P71">
        <f>IF(AND(ISNUMBER('Total GW EIA'!P81),ISNUMBER('Total GW EIA'!P80),'Total GW EIA'!P80&gt;0),('Total GW EIA'!P81 - 'Total GW EIA'!P80)/'Total GW EIA'!$P81,0)</f>
        <v>-4.1041111596674621E-3</v>
      </c>
    </row>
    <row r="72" spans="1:16" x14ac:dyDescent="0.85">
      <c r="A72" s="271">
        <v>2016</v>
      </c>
      <c r="B72">
        <f>IF(AND(ISNUMBER('Total GW EIA'!B82),ISNUMBER('Total GW EIA'!B81),'Total GW EIA'!B81&gt;0),('Total GW EIA'!B82 - 'Total GW EIA'!B81)/'Total GW EIA'!$P82,0)</f>
        <v>-1.2193612222653518E-2</v>
      </c>
      <c r="C72">
        <f>IF(AND(ISNUMBER('Total GW EIA'!C82),ISNUMBER('Total GW EIA'!C81),'Total GW EIA'!C81&gt;0),('Total GW EIA'!C82 - 'Total GW EIA'!C81)/'Total GW EIA'!$P82,0)</f>
        <v>-2.2786231084775395E-3</v>
      </c>
      <c r="D72">
        <f>IF(AND(ISNUMBER('Total GW EIA'!D82),ISNUMBER('Total GW EIA'!D81),'Total GW EIA'!D81&gt;0),('Total GW EIA'!D82 - 'Total GW EIA'!D81)/'Total GW EIA'!$P82,0)</f>
        <v>6.8861330704725323E-3</v>
      </c>
      <c r="E72">
        <f>IF(AND(ISNUMBER('Total GW EIA'!E82),ISNUMBER('Total GW EIA'!E81),'Total GW EIA'!E81&gt;0),('Total GW EIA'!E82 - 'Total GW EIA'!E81)/'Total GW EIA'!$P82,0)</f>
        <v>-7.6270579047650585E-3</v>
      </c>
      <c r="F72">
        <f>IF(AND(ISNUMBER('Total GW EIA'!F82),ISNUMBER('Total GW EIA'!F81),'Total GW EIA'!F81&gt;0),('Total GW EIA'!F82 - 'Total GW EIA'!F81)/'Total GW EIA'!$P82,0)</f>
        <v>8.3121341334576953E-4</v>
      </c>
      <c r="G72">
        <f>IF(AND(ISNUMBER('Total GW EIA'!G82),ISNUMBER('Total GW EIA'!G81),'Total GW EIA'!G81&gt;0),('Total GW EIA'!G82 - 'Total GW EIA'!G81)/'Total GW EIA'!$P82,0)</f>
        <v>1.9453930950645619E-4</v>
      </c>
      <c r="H72">
        <f>IF(AND(ISNUMBER('Total GW EIA'!H82),ISNUMBER('Total GW EIA'!H81),'Total GW EIA'!H81&gt;0),('Total GW EIA'!H82 - 'Total GW EIA'!H81)/'Total GW EIA'!$P82,0)</f>
        <v>2.2618685267975104E-4</v>
      </c>
      <c r="I72">
        <f>IF(AND(ISNUMBER('Total GW EIA'!I82),ISNUMBER('Total GW EIA'!I81),'Total GW EIA'!I81&gt;0),('Total GW EIA'!I82 - 'Total GW EIA'!I81)/'Total GW EIA'!$P82,0)</f>
        <v>-3.0716733079966335E-5</v>
      </c>
      <c r="J72">
        <f>IF(AND(ISNUMBER('Total GW EIA'!J82),ISNUMBER('Total GW EIA'!J81),'Total GW EIA'!J81&gt;0),('Total GW EIA'!J82 - 'Total GW EIA'!J81)/'Total GW EIA'!$P82,0)</f>
        <v>-3.3509163359963422E-5</v>
      </c>
      <c r="K72">
        <f>IF(AND(ISNUMBER('Total GW EIA'!K82),ISNUMBER('Total GW EIA'!K81),'Total GW EIA'!K81&gt;0),('Total GW EIA'!K82 - 'Total GW EIA'!K81)/'Total GW EIA'!$P82,0)</f>
        <v>-2.3270252333308117E-5</v>
      </c>
      <c r="L72">
        <f>IF(AND(ISNUMBER('Total GW EIA'!L82),ISNUMBER('Total GW EIA'!L81),'Total GW EIA'!L81&gt;0),('Total GW EIA'!L82 - 'Total GW EIA'!L81)/'Total GW EIA'!$P82,0)</f>
        <v>7.7145540535383346E-3</v>
      </c>
      <c r="M72">
        <f>IF(AND(ISNUMBER('Total GW EIA'!M82),ISNUMBER('Total GW EIA'!M81),'Total GW EIA'!M81&gt;0),('Total GW EIA'!M82 - 'Total GW EIA'!M81)/'Total GW EIA'!$P82,0)</f>
        <v>8.111079153297918E-3</v>
      </c>
      <c r="N72">
        <f>IF(AND(ISNUMBER('Total GW EIA'!N82),ISNUMBER('Total GW EIA'!N81),'Total GW EIA'!N81&gt;0),('Total GW EIA'!N82 - 'Total GW EIA'!N81)/'Total GW EIA'!$P82,0)</f>
        <v>1.5964323910742768E-2</v>
      </c>
      <c r="O72">
        <f>IF(AND(ISNUMBER('Total GW EIA'!O82),ISNUMBER('Total GW EIA'!O81),'Total GW EIA'!O81&gt;0),('Total GW EIA'!O82 - 'Total GW EIA'!O81)/'Total GW EIA'!$P82,0)</f>
        <v>2.4852629491973165E-4</v>
      </c>
      <c r="P72">
        <f>IF(AND(ISNUMBER('Total GW EIA'!P82),ISNUMBER('Total GW EIA'!P81),'Total GW EIA'!P81&gt;0),('Total GW EIA'!P82 - 'Total GW EIA'!P81)/'Total GW EIA'!$P82,0)</f>
        <v>9.5668661392696863E-3</v>
      </c>
    </row>
    <row r="73" spans="1:16" x14ac:dyDescent="0.85">
      <c r="A73" s="271">
        <v>2017</v>
      </c>
      <c r="B73">
        <f>IF(AND(ISNUMBER('Total GW EIA'!B83),ISNUMBER('Total GW EIA'!B82),'Total GW EIA'!B82&gt;0),('Total GW EIA'!B83 - 'Total GW EIA'!B82)/'Total GW EIA'!$P83,0)</f>
        <v>-9.2892647343618684E-3</v>
      </c>
      <c r="C73">
        <f>IF(AND(ISNUMBER('Total GW EIA'!C83),ISNUMBER('Total GW EIA'!C82),'Total GW EIA'!C82&gt;0),('Total GW EIA'!C83 - 'Total GW EIA'!C82)/'Total GW EIA'!$P83,0)</f>
        <v>-9.9135903796674176E-4</v>
      </c>
      <c r="D73">
        <f>IF(AND(ISNUMBER('Total GW EIA'!D83),ISNUMBER('Total GW EIA'!D82),'Total GW EIA'!D82&gt;0),('Total GW EIA'!D83 - 'Total GW EIA'!D82)/'Total GW EIA'!$P83,0)</f>
        <v>8.4740448370943695E-3</v>
      </c>
      <c r="E73">
        <f>IF(AND(ISNUMBER('Total GW EIA'!E83),ISNUMBER('Total GW EIA'!E82),'Total GW EIA'!E82&gt;0),('Total GW EIA'!E83 - 'Total GW EIA'!E82)/'Total GW EIA'!$P83,0)</f>
        <v>-1.8821988804559827E-3</v>
      </c>
      <c r="F73">
        <f>IF(AND(ISNUMBER('Total GW EIA'!F83),ISNUMBER('Total GW EIA'!F82),'Total GW EIA'!F82&gt;0),('Total GW EIA'!F83 - 'Total GW EIA'!F82)/'Total GW EIA'!$P83,0)</f>
        <v>5.9020445051050071E-5</v>
      </c>
      <c r="G73">
        <f>IF(AND(ISNUMBER('Total GW EIA'!G83),ISNUMBER('Total GW EIA'!G82),'Total GW EIA'!G82&gt;0),('Total GW EIA'!G83 - 'Total GW EIA'!G82)/'Total GW EIA'!$P83,0)</f>
        <v>2.858802807159808E-5</v>
      </c>
      <c r="H73">
        <f>IF(AND(ISNUMBER('Total GW EIA'!H83),ISNUMBER('Total GW EIA'!H82),'Total GW EIA'!H82&gt;0),('Total GW EIA'!H83 - 'Total GW EIA'!H82)/'Total GW EIA'!$P83,0)</f>
        <v>-1.0881894556285679E-4</v>
      </c>
      <c r="I73">
        <f>IF(AND(ISNUMBER('Total GW EIA'!I83),ISNUMBER('Total GW EIA'!I82),'Total GW EIA'!I82&gt;0),('Total GW EIA'!I83 - 'Total GW EIA'!I82)/'Total GW EIA'!$P83,0)</f>
        <v>-9.6830417661868584E-5</v>
      </c>
      <c r="J73">
        <f>IF(AND(ISNUMBER('Total GW EIA'!J83),ISNUMBER('Total GW EIA'!J82),'Total GW EIA'!J82&gt;0),('Total GW EIA'!J83 - 'Total GW EIA'!J82)/'Total GW EIA'!$P83,0)</f>
        <v>3.7809972610824246E-5</v>
      </c>
      <c r="K73">
        <f>IF(AND(ISNUMBER('Total GW EIA'!K83),ISNUMBER('Total GW EIA'!K82),'Total GW EIA'!K82&gt;0),('Total GW EIA'!K83 - 'Total GW EIA'!K82)/'Total GW EIA'!$P83,0)</f>
        <v>-3.1354611433366664E-5</v>
      </c>
      <c r="L73">
        <f>IF(AND(ISNUMBER('Total GW EIA'!L83),ISNUMBER('Total GW EIA'!L82),'Total GW EIA'!L82&gt;0),('Total GW EIA'!L83 - 'Total GW EIA'!L82)/'Total GW EIA'!$P83,0)</f>
        <v>4.6257273808755304E-3</v>
      </c>
      <c r="M73">
        <f>IF(AND(ISNUMBER('Total GW EIA'!M83),ISNUMBER('Total GW EIA'!M82),'Total GW EIA'!M82&gt;0),('Total GW EIA'!M83 - 'Total GW EIA'!M82)/'Total GW EIA'!$P83,0)</f>
        <v>5.8199691987052332E-3</v>
      </c>
      <c r="N73">
        <f>IF(AND(ISNUMBER('Total GW EIA'!N83),ISNUMBER('Total GW EIA'!N82),'Total GW EIA'!N82&gt;0),('Total GW EIA'!N83 - 'Total GW EIA'!N82)/'Total GW EIA'!$P83,0)</f>
        <v>1.0246502577533491E-2</v>
      </c>
      <c r="O73">
        <f>IF(AND(ISNUMBER('Total GW EIA'!O83),ISNUMBER('Total GW EIA'!O82),'Total GW EIA'!O82&gt;0),('Total GW EIA'!O83 - 'Total GW EIA'!O82)/'Total GW EIA'!$P83,0)</f>
        <v>9.7752612115790735E-5</v>
      </c>
      <c r="P73">
        <f>IF(AND(ISNUMBER('Total GW EIA'!P83),ISNUMBER('Total GW EIA'!P82),'Total GW EIA'!P82&gt;0),('Total GW EIA'!P83 - 'Total GW EIA'!P82)/'Total GW EIA'!$P83,0)</f>
        <v>9.256065734020498E-3</v>
      </c>
    </row>
    <row r="74" spans="1:16" x14ac:dyDescent="0.85">
      <c r="A74" s="271">
        <v>2018</v>
      </c>
      <c r="B74">
        <f>IF(AND(ISNUMBER('Total GW EIA'!B84),ISNUMBER('Total GW EIA'!B83),'Total GW EIA'!B83&gt;0),('Total GW EIA'!B84 - 'Total GW EIA'!B83)/'Total GW EIA'!$P84,0)</f>
        <v>-1.2570107970842414E-2</v>
      </c>
      <c r="C74">
        <f>IF(AND(ISNUMBER('Total GW EIA'!C84),ISNUMBER('Total GW EIA'!C83),'Total GW EIA'!C83&gt;0),('Total GW EIA'!C84 - 'Total GW EIA'!C83)/'Total GW EIA'!$P84,0)</f>
        <v>-9.9475674589400093E-4</v>
      </c>
      <c r="D74">
        <f>IF(AND(ISNUMBER('Total GW EIA'!D84),ISNUMBER('Total GW EIA'!D83),'Total GW EIA'!D83&gt;0),('Total GW EIA'!D84 - 'Total GW EIA'!D83)/'Total GW EIA'!$P84,0)</f>
        <v>1.2993952902058957E-2</v>
      </c>
      <c r="E74">
        <f>IF(AND(ISNUMBER('Total GW EIA'!E84),ISNUMBER('Total GW EIA'!E83),'Total GW EIA'!E83&gt;0),('Total GW EIA'!E84 - 'Total GW EIA'!E83)/'Total GW EIA'!$P84,0)</f>
        <v>-4.1653725998868892E-4</v>
      </c>
      <c r="F74">
        <f>IF(AND(ISNUMBER('Total GW EIA'!F84),ISNUMBER('Total GW EIA'!F83),'Total GW EIA'!F83&gt;0),('Total GW EIA'!F84 - 'Total GW EIA'!F83)/'Total GW EIA'!$P84,0)</f>
        <v>-1.7903794508284884E-4</v>
      </c>
      <c r="G74">
        <f>IF(AND(ISNUMBER('Total GW EIA'!G84),ISNUMBER('Total GW EIA'!G83),'Total GW EIA'!G83&gt;0),('Total GW EIA'!G84 - 'Total GW EIA'!G83)/'Total GW EIA'!$P84,0)</f>
        <v>1.8269178069678256E-5</v>
      </c>
      <c r="H74">
        <f>IF(AND(ISNUMBER('Total GW EIA'!H84),ISNUMBER('Total GW EIA'!H83),'Total GW EIA'!H83&gt;0),('Total GW EIA'!H84 - 'Total GW EIA'!H83)/'Total GW EIA'!$P84,0)</f>
        <v>7.0336335568261125E-5</v>
      </c>
      <c r="I74">
        <f>IF(AND(ISNUMBER('Total GW EIA'!I84),ISNUMBER('Total GW EIA'!I83),'Total GW EIA'!I83&gt;0),('Total GW EIA'!I84 - 'Total GW EIA'!I83)/'Total GW EIA'!$P84,0)</f>
        <v>-1.2423041087381408E-4</v>
      </c>
      <c r="J74">
        <f>IF(AND(ISNUMBER('Total GW EIA'!J84),ISNUMBER('Total GW EIA'!J83),'Total GW EIA'!J83&gt;0),('Total GW EIA'!J84 - 'Total GW EIA'!J83)/'Total GW EIA'!$P84,0)</f>
        <v>-8.3124760217038015E-5</v>
      </c>
      <c r="K74">
        <f>IF(AND(ISNUMBER('Total GW EIA'!K84),ISNUMBER('Total GW EIA'!K83),'Total GW EIA'!K83&gt;0),('Total GW EIA'!K84 - 'Total GW EIA'!K83)/'Total GW EIA'!$P84,0)</f>
        <v>-3.5624897235873492E-5</v>
      </c>
      <c r="L74">
        <f>IF(AND(ISNUMBER('Total GW EIA'!L84),ISNUMBER('Total GW EIA'!L83),'Total GW EIA'!L83&gt;0),('Total GW EIA'!L84 - 'Total GW EIA'!L83)/'Total GW EIA'!$P84,0)</f>
        <v>4.4859966750095924E-3</v>
      </c>
      <c r="M74">
        <f>IF(AND(ISNUMBER('Total GW EIA'!M84),ISNUMBER('Total GW EIA'!M83),'Total GW EIA'!M83&gt;0),('Total GW EIA'!M84 - 'Total GW EIA'!M83)/'Total GW EIA'!$P84,0)</f>
        <v>6.2297897217604243E-3</v>
      </c>
      <c r="N74">
        <f>IF(AND(ISNUMBER('Total GW EIA'!N84),ISNUMBER('Total GW EIA'!N83),'Total GW EIA'!N83&gt;0),('Total GW EIA'!N84 - 'Total GW EIA'!N83)/'Total GW EIA'!$P84,0)</f>
        <v>1.0543142664011547E-2</v>
      </c>
      <c r="O74">
        <f>IF(AND(ISNUMBER('Total GW EIA'!O84),ISNUMBER('Total GW EIA'!O83),'Total GW EIA'!O83&gt;0),('Total GW EIA'!O84 - 'Total GW EIA'!O83)/'Total GW EIA'!$P84,0)</f>
        <v>1.7081681495149527E-4</v>
      </c>
      <c r="P74">
        <f>IF(AND(ISNUMBER('Total GW EIA'!P84),ISNUMBER('Total GW EIA'!P83),'Total GW EIA'!P83&gt;0),('Total GW EIA'!P84 - 'Total GW EIA'!P83)/'Total GW EIA'!$P84,0)</f>
        <v>9.4725688291284853E-3</v>
      </c>
    </row>
    <row r="75" spans="1:16" x14ac:dyDescent="0.85">
      <c r="A75" s="271">
        <v>2019</v>
      </c>
      <c r="B75">
        <f>IF(AND(ISNUMBER('Total GW EIA'!B85),ISNUMBER('Total GW EIA'!B84),'Total GW EIA'!B84&gt;0),('Total GW EIA'!B85 - 'Total GW EIA'!B84)/'Total GW EIA'!$P85,0)</f>
        <v>-1.285494627471317E-2</v>
      </c>
      <c r="C75">
        <f>IF(AND(ISNUMBER('Total GW EIA'!C85),ISNUMBER('Total GW EIA'!C84),'Total GW EIA'!C84&gt;0),('Total GW EIA'!C85 - 'Total GW EIA'!C84)/'Total GW EIA'!$P85,0)</f>
        <v>-7.4332869321542324E-4</v>
      </c>
      <c r="D75">
        <f>IF(AND(ISNUMBER('Total GW EIA'!D85),ISNUMBER('Total GW EIA'!D84),'Total GW EIA'!D84&gt;0),('Total GW EIA'!D85 - 'Total GW EIA'!D84)/'Total GW EIA'!$P85,0)</f>
        <v>5.7592051750962004E-3</v>
      </c>
      <c r="E75">
        <f>IF(AND(ISNUMBER('Total GW EIA'!E85),ISNUMBER('Total GW EIA'!E84),'Total GW EIA'!E84&gt;0),('Total GW EIA'!E85 - 'Total GW EIA'!E84)/'Total GW EIA'!$P85,0)</f>
        <v>-7.8791021826750459E-3</v>
      </c>
      <c r="F75">
        <f>IF(AND(ISNUMBER('Total GW EIA'!F85),ISNUMBER('Total GW EIA'!F84),'Total GW EIA'!F84&gt;0),('Total GW EIA'!F85 - 'Total GW EIA'!F84)/'Total GW EIA'!$P85,0)</f>
        <v>-1.1955127330294578E-3</v>
      </c>
      <c r="G75">
        <f>IF(AND(ISNUMBER('Total GW EIA'!G85),ISNUMBER('Total GW EIA'!G84),'Total GW EIA'!G84&gt;0),('Total GW EIA'!G85 - 'Total GW EIA'!G84)/'Total GW EIA'!$P85,0)</f>
        <v>-4.7311006177725257E-5</v>
      </c>
      <c r="H75">
        <f>IF(AND(ISNUMBER('Total GW EIA'!H85),ISNUMBER('Total GW EIA'!H84),'Total GW EIA'!H84&gt;0),('Total GW EIA'!H85 - 'Total GW EIA'!H84)/'Total GW EIA'!$P85,0)</f>
        <v>-9.007287714605795E-5</v>
      </c>
      <c r="I75">
        <f>IF(AND(ISNUMBER('Total GW EIA'!I85),ISNUMBER('Total GW EIA'!I84),'Total GW EIA'!I84&gt;0),('Total GW EIA'!I85 - 'Total GW EIA'!I84)/'Total GW EIA'!$P85,0)</f>
        <v>-2.9114465340138868E-4</v>
      </c>
      <c r="J75">
        <f>IF(AND(ISNUMBER('Total GW EIA'!J85),ISNUMBER('Total GW EIA'!J84),'Total GW EIA'!J84&gt;0),('Total GW EIA'!J85 - 'Total GW EIA'!J84)/'Total GW EIA'!$P85,0)</f>
        <v>-2.729481125638015E-4</v>
      </c>
      <c r="K75">
        <f>IF(AND(ISNUMBER('Total GW EIA'!K85),ISNUMBER('Total GW EIA'!K84),'Total GW EIA'!K84&gt;0),('Total GW EIA'!K85 - 'Total GW EIA'!K84)/'Total GW EIA'!$P85,0)</f>
        <v>1.009908016486068E-4</v>
      </c>
      <c r="L75">
        <f>IF(AND(ISNUMBER('Total GW EIA'!L85),ISNUMBER('Total GW EIA'!L84),'Total GW EIA'!L84&gt;0),('Total GW EIA'!L85 - 'Total GW EIA'!L84)/'Total GW EIA'!$P85,0)</f>
        <v>5.0859331641055069E-3</v>
      </c>
      <c r="M75">
        <f>IF(AND(ISNUMBER('Total GW EIA'!M85),ISNUMBER('Total GW EIA'!M84),'Total GW EIA'!M84&gt;0),('Total GW EIA'!M85 - 'Total GW EIA'!M84)/'Total GW EIA'!$P85,0)</f>
        <v>8.3276469143215813E-3</v>
      </c>
      <c r="N75">
        <f>IF(AND(ISNUMBER('Total GW EIA'!N85),ISNUMBER('Total GW EIA'!N84),'Total GW EIA'!N84&gt;0),('Total GW EIA'!N85 - 'Total GW EIA'!N84)/'Total GW EIA'!$P85,0)</f>
        <v>1.286131506400633E-2</v>
      </c>
      <c r="O75">
        <f>IF(AND(ISNUMBER('Total GW EIA'!O85),ISNUMBER('Total GW EIA'!O84),'Total GW EIA'!O84&gt;0),('Total GW EIA'!O85 - 'Total GW EIA'!O84)/'Total GW EIA'!$P85,0)</f>
        <v>1.4830180782633216E-4</v>
      </c>
      <c r="P75">
        <f>IF(AND(ISNUMBER('Total GW EIA'!P85),ISNUMBER('Total GW EIA'!P84),'Total GW EIA'!P84&gt;0),('Total GW EIA'!P85 - 'Total GW EIA'!P84)/'Total GW EIA'!$P85,0)</f>
        <v>3.9759441730126115E-3</v>
      </c>
    </row>
    <row r="76" spans="1:16" x14ac:dyDescent="0.85">
      <c r="A76" s="271">
        <v>2020</v>
      </c>
      <c r="B76">
        <f>IF(AND(ISNUMBER('Total GW EIA'!B86),ISNUMBER('Total GW EIA'!B85),'Total GW EIA'!B85&gt;0),('Total GW EIA'!B86 - 'Total GW EIA'!B85)/'Total GW EIA'!$P86,0)</f>
        <v>-1.1744385945099059E-2</v>
      </c>
      <c r="C76">
        <f>IF(AND(ISNUMBER('Total GW EIA'!C86),ISNUMBER('Total GW EIA'!C85),'Total GW EIA'!C85&gt;0),('Total GW EIA'!C86 - 'Total GW EIA'!C85)/'Total GW EIA'!$P86,0)</f>
        <v>-3.4337741399431015E-3</v>
      </c>
      <c r="D76">
        <f>IF(AND(ISNUMBER('Total GW EIA'!D86),ISNUMBER('Total GW EIA'!D85),'Total GW EIA'!D85&gt;0),('Total GW EIA'!D86 - 'Total GW EIA'!D85)/'Total GW EIA'!$P86,0)</f>
        <v>8.2819297972002853E-3</v>
      </c>
      <c r="E76">
        <f>IF(AND(ISNUMBER('Total GW EIA'!E86),ISNUMBER('Total GW EIA'!E85),'Total GW EIA'!E85&gt;0),('Total GW EIA'!E86 - 'Total GW EIA'!E85)/'Total GW EIA'!$P86,0)</f>
        <v>-7.0970043435315856E-3</v>
      </c>
      <c r="F76">
        <f>IF(AND(ISNUMBER('Total GW EIA'!F86),ISNUMBER('Total GW EIA'!F85),'Total GW EIA'!F85&gt;0),('Total GW EIA'!F86 - 'Total GW EIA'!F85)/'Total GW EIA'!$P86,0)</f>
        <v>-1.4502340272586588E-3</v>
      </c>
      <c r="G76">
        <f>IF(AND(ISNUMBER('Total GW EIA'!G86),ISNUMBER('Total GW EIA'!G85),'Total GW EIA'!G85&gt;0),('Total GW EIA'!G86 - 'Total GW EIA'!G85)/'Total GW EIA'!$P86,0)</f>
        <v>2.1332243417030976E-4</v>
      </c>
      <c r="H76">
        <f>IF(AND(ISNUMBER('Total GW EIA'!H86),ISNUMBER('Total GW EIA'!H85),'Total GW EIA'!H85&gt;0),('Total GW EIA'!H86 - 'Total GW EIA'!H85)/'Total GW EIA'!$P86,0)</f>
        <v>1.3534322504083642E-4</v>
      </c>
      <c r="I76">
        <f>IF(AND(ISNUMBER('Total GW EIA'!I86),ISNUMBER('Total GW EIA'!I85),'Total GW EIA'!I85&gt;0),('Total GW EIA'!I86 - 'Total GW EIA'!I85)/'Total GW EIA'!$P86,0)</f>
        <v>-4.3023011933507972E-5</v>
      </c>
      <c r="J76">
        <f>IF(AND(ISNUMBER('Total GW EIA'!J86),ISNUMBER('Total GW EIA'!J85),'Total GW EIA'!J85&gt;0),('Total GW EIA'!J86 - 'Total GW EIA'!J85)/'Total GW EIA'!$P86,0)</f>
        <v>-1.0397227883931054E-4</v>
      </c>
      <c r="K76">
        <f>IF(AND(ISNUMBER('Total GW EIA'!K86),ISNUMBER('Total GW EIA'!K85),'Total GW EIA'!K85&gt;0),('Total GW EIA'!K86 - 'Total GW EIA'!K85)/'Total GW EIA'!$P86,0)</f>
        <v>1.5237316726450641E-5</v>
      </c>
      <c r="L76">
        <f>IF(AND(ISNUMBER('Total GW EIA'!L86),ISNUMBER('Total GW EIA'!L85),'Total GW EIA'!L85&gt;0),('Total GW EIA'!L86 - 'Total GW EIA'!L85)/'Total GW EIA'!$P86,0)</f>
        <v>9.4883667568357276E-3</v>
      </c>
      <c r="M76">
        <f>IF(AND(ISNUMBER('Total GW EIA'!M86),ISNUMBER('Total GW EIA'!M85),'Total GW EIA'!M85&gt;0),('Total GW EIA'!M86 - 'Total GW EIA'!M85)/'Total GW EIA'!$P86,0)</f>
        <v>1.3272599181487203E-2</v>
      </c>
      <c r="N76">
        <f>IF(AND(ISNUMBER('Total GW EIA'!N86),ISNUMBER('Total GW EIA'!N85),'Total GW EIA'!N85&gt;0),('Total GW EIA'!N86 - 'Total GW EIA'!N85)/'Total GW EIA'!$P86,0)</f>
        <v>2.2764551189317406E-2</v>
      </c>
      <c r="O76">
        <f>IF(AND(ISNUMBER('Total GW EIA'!O86),ISNUMBER('Total GW EIA'!O85),'Total GW EIA'!O85&gt;0),('Total GW EIA'!O86 - 'Total GW EIA'!O85)/'Total GW EIA'!$P86,0)</f>
        <v>4.4188218506707115E-4</v>
      </c>
      <c r="P76">
        <f>IF(AND(ISNUMBER('Total GW EIA'!P86),ISNUMBER('Total GW EIA'!P85),'Total GW EIA'!P85&gt;0),('Total GW EIA'!P86 - 'Total GW EIA'!P85)/'Total GW EIA'!$P86,0)</f>
        <v>1.4853694870043718E-2</v>
      </c>
    </row>
    <row r="77" spans="1:16" x14ac:dyDescent="0.85">
      <c r="A77" s="271">
        <v>2021</v>
      </c>
      <c r="B77">
        <f>IF(AND(ISNUMBER('Total GW EIA'!B87),ISNUMBER('Total GW EIA'!B86),'Total GW EIA'!B86&gt;0),('Total GW EIA'!B87 - 'Total GW EIA'!B86)/'Total GW EIA'!$P87,0)</f>
        <v>-4.9988785686172089E-3</v>
      </c>
      <c r="C77">
        <f>IF(AND(ISNUMBER('Total GW EIA'!C87),ISNUMBER('Total GW EIA'!C86),'Total GW EIA'!C86&gt;0),('Total GW EIA'!C87 - 'Total GW EIA'!C86)/'Total GW EIA'!$P87,0)</f>
        <v>5.5504308129199307E-4</v>
      </c>
      <c r="D77">
        <f>IF(AND(ISNUMBER('Total GW EIA'!D87),ISNUMBER('Total GW EIA'!D86),'Total GW EIA'!D86&gt;0),('Total GW EIA'!D87 - 'Total GW EIA'!D86)/'Total GW EIA'!$P87,0)</f>
        <v>5.2912361664675337E-3</v>
      </c>
      <c r="E77">
        <f>IF(AND(ISNUMBER('Total GW EIA'!E87),ISNUMBER('Total GW EIA'!E86),'Total GW EIA'!E86&gt;0),('Total GW EIA'!E87 - 'Total GW EIA'!E86)/'Total GW EIA'!$P87,0)</f>
        <v>5.0791678193700751E-4</v>
      </c>
      <c r="F77">
        <f>IF(AND(ISNUMBER('Total GW EIA'!F87),ISNUMBER('Total GW EIA'!F86),'Total GW EIA'!F86&gt;0),('Total GW EIA'!F87 - 'Total GW EIA'!F86)/'Total GW EIA'!$P87,0)</f>
        <v>-8.3343733118530349E-4</v>
      </c>
      <c r="G77">
        <f>IF(AND(ISNUMBER('Total GW EIA'!G87),ISNUMBER('Total GW EIA'!G86),'Total GW EIA'!G86&gt;0),('Total GW EIA'!G87 - 'Total GW EIA'!G86)/'Total GW EIA'!$P87,0)</f>
        <v>-6.9816739785148747E-6</v>
      </c>
      <c r="H77">
        <f>IF(AND(ISNUMBER('Total GW EIA'!H87),ISNUMBER('Total GW EIA'!H86),'Total GW EIA'!H86&gt;0),('Total GW EIA'!H87 - 'Total GW EIA'!H86)/'Total GW EIA'!$P87,0)</f>
        <v>-1.2217929462411108E-5</v>
      </c>
      <c r="I77">
        <f>IF(AND(ISNUMBER('Total GW EIA'!I87),ISNUMBER('Total GW EIA'!I86),'Total GW EIA'!I86&gt;0),('Total GW EIA'!I87 - 'Total GW EIA'!I86)/'Total GW EIA'!$P87,0)</f>
        <v>-3.5257453591503997E-4</v>
      </c>
      <c r="J77">
        <f>IF(AND(ISNUMBER('Total GW EIA'!J87),ISNUMBER('Total GW EIA'!J86),'Total GW EIA'!J86&gt;0),('Total GW EIA'!J87 - 'Total GW EIA'!J86)/'Total GW EIA'!$P87,0)</f>
        <v>-1.3439722408642606E-4</v>
      </c>
      <c r="K77">
        <f>IF(AND(ISNUMBER('Total GW EIA'!K87),ISNUMBER('Total GW EIA'!K86),'Total GW EIA'!K86&gt;0),('Total GW EIA'!K87 - 'Total GW EIA'!K86)/'Total GW EIA'!$P87,0)</f>
        <v>2.1817731182861309E-5</v>
      </c>
      <c r="L77">
        <f>IF(AND(ISNUMBER('Total GW EIA'!L87),ISNUMBER('Total GW EIA'!L86),'Total GW EIA'!L86&gt;0),('Total GW EIA'!L87 - 'Total GW EIA'!L86)/'Total GW EIA'!$P87,0)</f>
        <v>1.1778084001755887E-2</v>
      </c>
      <c r="M77">
        <f>IF(AND(ISNUMBER('Total GW EIA'!M87),ISNUMBER('Total GW EIA'!M86),'Total GW EIA'!M86&gt;0),('Total GW EIA'!M87 - 'Total GW EIA'!M86)/'Total GW EIA'!$P87,0)</f>
        <v>1.2544322720897966E-2</v>
      </c>
      <c r="N77">
        <f>IF(AND(ISNUMBER('Total GW EIA'!N87),ISNUMBER('Total GW EIA'!N86),'Total GW EIA'!N86&gt;0),('Total GW EIA'!N87 - 'Total GW EIA'!N86)/'Total GW EIA'!$P87,0)</f>
        <v>2.3845034764372851E-2</v>
      </c>
      <c r="O77">
        <f>IF(AND(ISNUMBER('Total GW EIA'!O87),ISNUMBER('Total GW EIA'!O86),'Total GW EIA'!O86&gt;0),('Total GW EIA'!O87 - 'Total GW EIA'!O86)/'Total GW EIA'!$P87,0)</f>
        <v>2.8267052520515213E-3</v>
      </c>
      <c r="P77">
        <f>IF(AND(ISNUMBER('Total GW EIA'!P87),ISNUMBER('Total GW EIA'!P86),'Total GW EIA'!P86&gt;0),('Total GW EIA'!P87 - 'Total GW EIA'!P86)/'Total GW EIA'!$P87,0)</f>
        <v>2.6334001537713654E-2</v>
      </c>
    </row>
    <row r="78" spans="1:16" x14ac:dyDescent="0.85">
      <c r="A78" s="271">
        <v>2022</v>
      </c>
      <c r="B78">
        <f>IF(AND(ISNUMBER('Total GW EIA'!B88),ISNUMBER('Total GW EIA'!B87),'Total GW EIA'!B87&gt;0),('Total GW EIA'!B88 - 'Total GW EIA'!B87)/'Total GW EIA'!$P88,0)</f>
        <v>-1.7659173643661805E-2</v>
      </c>
      <c r="C78">
        <f>IF(AND(ISNUMBER('Total GW EIA'!C88),ISNUMBER('Total GW EIA'!C87),'Total GW EIA'!C87&gt;0),('Total GW EIA'!C88 - 'Total GW EIA'!C87)/'Total GW EIA'!$P88,0)</f>
        <v>2.2119169717487656E-3</v>
      </c>
      <c r="D78">
        <f>IF(AND(ISNUMBER('Total GW EIA'!D88),ISNUMBER('Total GW EIA'!D87),'Total GW EIA'!D87&gt;0),('Total GW EIA'!D88 - 'Total GW EIA'!D87)/'Total GW EIA'!$P88,0)</f>
        <v>9.0637796658619048E-3</v>
      </c>
      <c r="E78">
        <f>IF(AND(ISNUMBER('Total GW EIA'!E88),ISNUMBER('Total GW EIA'!E87),'Total GW EIA'!E87&gt;0),('Total GW EIA'!E88 - 'Total GW EIA'!E87)/'Total GW EIA'!$P88,0)</f>
        <v>-6.5195154963338517E-3</v>
      </c>
      <c r="F78">
        <f>IF(AND(ISNUMBER('Total GW EIA'!F88),ISNUMBER('Total GW EIA'!F87),'Total GW EIA'!F87&gt;0),('Total GW EIA'!F88 - 'Total GW EIA'!F87)/'Total GW EIA'!$P88,0)</f>
        <v>-7.6370975240994815E-4</v>
      </c>
      <c r="G78">
        <f>IF(AND(ISNUMBER('Total GW EIA'!G88),ISNUMBER('Total GW EIA'!G87),'Total GW EIA'!G87&gt;0),('Total GW EIA'!G88 - 'Total GW EIA'!G87)/'Total GW EIA'!$P88,0)</f>
        <v>3.0996111709987776E-5</v>
      </c>
      <c r="H78">
        <f>IF(AND(ISNUMBER('Total GW EIA'!H88),ISNUMBER('Total GW EIA'!H87),'Total GW EIA'!H87&gt;0),('Total GW EIA'!H88 - 'Total GW EIA'!H87)/'Total GW EIA'!$P88,0)</f>
        <v>1.3603849028272008E-4</v>
      </c>
      <c r="I78">
        <f>IF(AND(ISNUMBER('Total GW EIA'!I88),ISNUMBER('Total GW EIA'!I87),'Total GW EIA'!I87&gt;0),('Total GW EIA'!I88 - 'Total GW EIA'!I87)/'Total GW EIA'!$P88,0)</f>
        <v>-1.0159836616051193E-4</v>
      </c>
      <c r="J78">
        <f>IF(AND(ISNUMBER('Total GW EIA'!J88),ISNUMBER('Total GW EIA'!J87),'Total GW EIA'!J87&gt;0),('Total GW EIA'!J88 - 'Total GW EIA'!J87)/'Total GW EIA'!$P88,0)</f>
        <v>-1.2656745614911217E-4</v>
      </c>
      <c r="K78">
        <f>IF(AND(ISNUMBER('Total GW EIA'!K88),ISNUMBER('Total GW EIA'!K87),'Total GW EIA'!K87&gt;0),('Total GW EIA'!K88 - 'Total GW EIA'!K87)/'Total GW EIA'!$P88,0)</f>
        <v>4.4772161358869582E-5</v>
      </c>
      <c r="L78">
        <f>IF(AND(ISNUMBER('Total GW EIA'!L88),ISNUMBER('Total GW EIA'!L87),'Total GW EIA'!L87&gt;0),('Total GW EIA'!L88 - 'Total GW EIA'!L87)/'Total GW EIA'!$P88,0)</f>
        <v>9.7431111141724584E-3</v>
      </c>
      <c r="M78">
        <f>IF(AND(ISNUMBER('Total GW EIA'!M88),ISNUMBER('Total GW EIA'!M87),'Total GW EIA'!M87&gt;0),('Total GW EIA'!M88 - 'Total GW EIA'!M87)/'Total GW EIA'!$P88,0)</f>
        <v>7.4468158383242822E-3</v>
      </c>
      <c r="N78">
        <f>IF(AND(ISNUMBER('Total GW EIA'!N88),ISNUMBER('Total GW EIA'!N87),'Total GW EIA'!N87&gt;0),('Total GW EIA'!N88 - 'Total GW EIA'!N87)/'Total GW EIA'!$P88,0)</f>
        <v>1.7142571781828726E-2</v>
      </c>
      <c r="O78">
        <f>IF(AND(ISNUMBER('Total GW EIA'!O88),ISNUMBER('Total GW EIA'!O87),'Total GW EIA'!O87&gt;0),('Total GW EIA'!O88 - 'Total GW EIA'!O87)/'Total GW EIA'!$P88,0)</f>
        <v>3.6446261352325923E-3</v>
      </c>
      <c r="P78">
        <f>IF(AND(ISNUMBER('Total GW EIA'!P88),ISNUMBER('Total GW EIA'!P87),'Total GW EIA'!P87&gt;0),('Total GW EIA'!P88 - 'Total GW EIA'!P87)/'Total GW EIA'!$P88,0)</f>
        <v>1.3413567342496661E-2</v>
      </c>
    </row>
    <row r="79" spans="1:16" x14ac:dyDescent="0.85">
      <c r="A79" s="271">
        <v>2023</v>
      </c>
      <c r="B79">
        <f>IF(AND(ISNUMBER('Total GW EIA'!B89),ISNUMBER('Total GW EIA'!B88),'Total GW EIA'!B88&gt;0),('Total GW EIA'!B89 - 'Total GW EIA'!B88)/'Total GW EIA'!$P89,0)</f>
        <v>-9.1566285350994231E-3</v>
      </c>
      <c r="C79">
        <f>IF(AND(ISNUMBER('Total GW EIA'!C89),ISNUMBER('Total GW EIA'!C88),'Total GW EIA'!C88&gt;0),('Total GW EIA'!C89 - 'Total GW EIA'!C88)/'Total GW EIA'!$P89,0)</f>
        <v>-1.1233163937670251E-3</v>
      </c>
      <c r="D79">
        <f>IF(AND(ISNUMBER('Total GW EIA'!D89),ISNUMBER('Total GW EIA'!D88),'Total GW EIA'!D88&gt;0),('Total GW EIA'!D89 - 'Total GW EIA'!D88)/'Total GW EIA'!$P89,0)</f>
        <v>4.3273785214158582E-3</v>
      </c>
      <c r="E79">
        <f>IF(AND(ISNUMBER('Total GW EIA'!E89),ISNUMBER('Total GW EIA'!E88),'Total GW EIA'!E88&gt;0),('Total GW EIA'!E89 - 'Total GW EIA'!E88)/'Total GW EIA'!$P89,0)</f>
        <v>-5.8372033295300144E-3</v>
      </c>
      <c r="F79">
        <f>IF(AND(ISNUMBER('Total GW EIA'!F89),ISNUMBER('Total GW EIA'!F88),'Total GW EIA'!F88&gt;0),('Total GW EIA'!F89 - 'Total GW EIA'!F88)/'Total GW EIA'!$P89,0)</f>
        <v>8.8669577409046085E-4</v>
      </c>
      <c r="G79">
        <f>IF(AND(ISNUMBER('Total GW EIA'!G89),ISNUMBER('Total GW EIA'!G88),'Total GW EIA'!G88&gt;0),('Total GW EIA'!G89 - 'Total GW EIA'!G88)/'Total GW EIA'!$P89,0)</f>
        <v>8.6732825005998016E-5</v>
      </c>
      <c r="H79">
        <f>IF(AND(ISNUMBER('Total GW EIA'!H89),ISNUMBER('Total GW EIA'!H88),'Total GW EIA'!H88&gt;0),('Total GW EIA'!H89 - 'Total GW EIA'!H88)/'Total GW EIA'!$P89,0)</f>
        <v>-6.9891499762114937E-5</v>
      </c>
      <c r="I79">
        <f>IF(AND(ISNUMBER('Total GW EIA'!I89),ISNUMBER('Total GW EIA'!I88),'Total GW EIA'!I88&gt;0),('Total GW EIA'!I89 - 'Total GW EIA'!I88)/'Total GW EIA'!$P89,0)</f>
        <v>-9.4311421365747346E-5</v>
      </c>
      <c r="J79">
        <f>IF(AND(ISNUMBER('Total GW EIA'!J89),ISNUMBER('Total GW EIA'!J88),'Total GW EIA'!J88&gt;0),('Total GW EIA'!J89 - 'Total GW EIA'!J88)/'Total GW EIA'!$P89,0)</f>
        <v>-1.5915052355469856E-4</v>
      </c>
      <c r="K79">
        <f>IF(AND(ISNUMBER('Total GW EIA'!K89),ISNUMBER('Total GW EIA'!K88),'Total GW EIA'!K88&gt;0),('Total GW EIA'!K89 - 'Total GW EIA'!K88)/'Total GW EIA'!$P89,0)</f>
        <v>3.9577114323126213E-5</v>
      </c>
      <c r="L79">
        <f>IF(AND(ISNUMBER('Total GW EIA'!L89),ISNUMBER('Total GW EIA'!L88),'Total GW EIA'!L88&gt;0),('Total GW EIA'!L89 - 'Total GW EIA'!L88)/'Total GW EIA'!$P89,0)</f>
        <v>1.6118832390920837E-2</v>
      </c>
      <c r="M79">
        <f>IF(AND(ISNUMBER('Total GW EIA'!M89),ISNUMBER('Total GW EIA'!M88),'Total GW EIA'!M88&gt;0),('Total GW EIA'!M89 - 'Total GW EIA'!M88)/'Total GW EIA'!$P89,0)</f>
        <v>5.0886064224393871E-3</v>
      </c>
      <c r="N79">
        <f>IF(AND(ISNUMBER('Total GW EIA'!N89),ISNUMBER('Total GW EIA'!N88),'Total GW EIA'!N88&gt;0),('Total GW EIA'!N89 - 'Total GW EIA'!N88)/'Total GW EIA'!$P89,0)</f>
        <v>2.092366248300075E-2</v>
      </c>
      <c r="O79">
        <f>IF(AND(ISNUMBER('Total GW EIA'!O89),ISNUMBER('Total GW EIA'!O88),'Total GW EIA'!O88&gt;0),('Total GW EIA'!O89 - 'Total GW EIA'!O88)/'Total GW EIA'!$P89,0)</f>
        <v>5.9070948292921158E-3</v>
      </c>
      <c r="P79">
        <f>IF(AND(ISNUMBER('Total GW EIA'!P89),ISNUMBER('Total GW EIA'!P88),'Total GW EIA'!P88&gt;0),('Total GW EIA'!P89 - 'Total GW EIA'!P88)/'Total GW EIA'!$P89,0)</f>
        <v>2.1993928702249699E-2</v>
      </c>
    </row>
    <row r="80" spans="1:16" x14ac:dyDescent="0.85">
      <c r="A80" s="271">
        <v>2024</v>
      </c>
      <c r="B80">
        <f>IF(AND(ISNUMBER('Total GW EIA'!B90),ISNUMBER('Total GW EIA'!B89),'Total GW EIA'!B89&gt;0),('Total GW EIA'!B90 - 'Total GW EIA'!B89)/'Total GW EIA'!$P90,0)</f>
        <v>-3.6883656295713259E-3</v>
      </c>
      <c r="C80">
        <f>IF(AND(ISNUMBER('Total GW EIA'!C90),ISNUMBER('Total GW EIA'!C89),'Total GW EIA'!C89&gt;0),('Total GW EIA'!C90 - 'Total GW EIA'!C89)/'Total GW EIA'!$P90,0)</f>
        <v>-1.170909723673423E-4</v>
      </c>
      <c r="D80">
        <f>IF(AND(ISNUMBER('Total GW EIA'!D90),ISNUMBER('Total GW EIA'!D89),'Total GW EIA'!D89&gt;0),('Total GW EIA'!D90 - 'Total GW EIA'!D89)/'Total GW EIA'!$P90,0)</f>
        <v>2.2523749545661558E-4</v>
      </c>
      <c r="E80">
        <f>IF(AND(ISNUMBER('Total GW EIA'!E90),ISNUMBER('Total GW EIA'!E89),'Total GW EIA'!E89&gt;0),('Total GW EIA'!E90 - 'Total GW EIA'!E89)/'Total GW EIA'!$P90,0)</f>
        <v>-3.6021736638008782E-3</v>
      </c>
      <c r="F80">
        <f>IF(AND(ISNUMBER('Total GW EIA'!F90),ISNUMBER('Total GW EIA'!F89),'Total GW EIA'!F89&gt;0),('Total GW EIA'!F90 - 'Total GW EIA'!F89)/'Total GW EIA'!$P90,0)</f>
        <v>8.6110652595150429E-4</v>
      </c>
      <c r="G80">
        <f>IF(AND(ISNUMBER('Total GW EIA'!G90),ISNUMBER('Total GW EIA'!G89),'Total GW EIA'!G89&gt;0),('Total GW EIA'!G90 - 'Total GW EIA'!G89)/'Total GW EIA'!$P90,0)</f>
        <v>2.6833347834183936E-5</v>
      </c>
      <c r="H80">
        <f>IF(AND(ISNUMBER('Total GW EIA'!H90),ISNUMBER('Total GW EIA'!H89),'Total GW EIA'!H89&gt;0),('Total GW EIA'!H90 - 'Total GW EIA'!H89)/'Total GW EIA'!$P90,0)</f>
        <v>-1.2684855339796042E-4</v>
      </c>
      <c r="I80">
        <f>IF(AND(ISNUMBER('Total GW EIA'!I90),ISNUMBER('Total GW EIA'!I89),'Total GW EIA'!I89&gt;0),('Total GW EIA'!I90 - 'Total GW EIA'!I89)/'Total GW EIA'!$P90,0)</f>
        <v>-6.3424276698977324E-5</v>
      </c>
      <c r="J80">
        <f>IF(AND(ISNUMBER('Total GW EIA'!J90),ISNUMBER('Total GW EIA'!J89),'Total GW EIA'!J89&gt;0),('Total GW EIA'!J90 - 'Total GW EIA'!J89)/'Total GW EIA'!$P90,0)</f>
        <v>-9.1070756285711798E-5</v>
      </c>
      <c r="K80">
        <f>IF(AND(ISNUMBER('Total GW EIA'!K90),ISNUMBER('Total GW EIA'!K89),'Total GW EIA'!K89&gt;0),('Total GW EIA'!K90 - 'Total GW EIA'!K89)/'Total GW EIA'!$P90,0)</f>
        <v>3.0899006596937755E-5</v>
      </c>
      <c r="L80">
        <f>IF(AND(ISNUMBER('Total GW EIA'!L90),ISNUMBER('Total GW EIA'!L89),'Total GW EIA'!L89&gt;0),('Total GW EIA'!L90 - 'Total GW EIA'!L89)/'Total GW EIA'!$P90,0)</f>
        <v>2.4849306357958487E-2</v>
      </c>
      <c r="M80">
        <f>IF(AND(ISNUMBER('Total GW EIA'!M90),ISNUMBER('Total GW EIA'!M89),'Total GW EIA'!M89&gt;0),('Total GW EIA'!M90 - 'Total GW EIA'!M89)/'Total GW EIA'!$P90,0)</f>
        <v>4.2819518089335686E-3</v>
      </c>
      <c r="N80">
        <f>IF(AND(ISNUMBER('Total GW EIA'!N90),ISNUMBER('Total GW EIA'!N89),'Total GW EIA'!N89&gt;0),('Total GW EIA'!N90 - 'Total GW EIA'!N89)/'Total GW EIA'!$P90,0)</f>
        <v>2.8881626718858886E-2</v>
      </c>
      <c r="O80">
        <f>IF(AND(ISNUMBER('Total GW EIA'!O90),ISNUMBER('Total GW EIA'!O89),'Total GW EIA'!O89&gt;0),('Total GW EIA'!O90 - 'Total GW EIA'!O89)/'Total GW EIA'!$P90,0)</f>
        <v>8.1971811974666069E-3</v>
      </c>
      <c r="P80">
        <f>IF(AND(ISNUMBER('Total GW EIA'!P90),ISNUMBER('Total GW EIA'!P89),'Total GW EIA'!P89&gt;0),('Total GW EIA'!P90 - 'Total GW EIA'!P89)/'Total GW EIA'!$P90,0)</f>
        <v>3.4361321599300082E-2</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Calc</vt:lpstr>
      <vt:lpstr>CSV</vt:lpstr>
      <vt:lpstr>Cost Perf 2025</vt:lpstr>
      <vt:lpstr>LCOE_LCOS</vt:lpstr>
      <vt:lpstr>LCOE_2023</vt:lpstr>
      <vt:lpstr>NREL CO2e</vt:lpstr>
      <vt:lpstr>Lifetimes</vt:lpstr>
      <vt:lpstr>Total GW EIA</vt:lpstr>
      <vt:lpstr>Build Rate</vt:lpstr>
      <vt:lpstr>BESS_kW</vt:lpstr>
      <vt:lpstr>Billion</vt:lpstr>
      <vt:lpstr>Build_Corner</vt:lpstr>
      <vt:lpstr>CO2e_Corner</vt:lpstr>
      <vt:lpstr>CostPerfCorner</vt:lpstr>
      <vt:lpstr>CSV_Range</vt:lpstr>
      <vt:lpstr>LCOE_2023_Corner</vt:lpstr>
      <vt:lpstr>LCOE_LCOS_Corner</vt:lpstr>
      <vt:lpstr>Million</vt:lpstr>
      <vt:lpstr>Thousand</vt:lpstr>
      <vt:lpstr>Trillion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Cliff Gold</dc:creator>
  <cp:lastModifiedBy>Cliff Gold</cp:lastModifiedBy>
  <dcterms:created xsi:type="dcterms:W3CDTF">2025-08-25T22:07:21Z</dcterms:created>
  <dcterms:modified xsi:type="dcterms:W3CDTF">2025-09-15T23:14:04Z</dcterms:modified>
</cp:coreProperties>
</file>