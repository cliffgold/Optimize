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235" documentId="13_ncr:1_{4B2B8139-C58D-4114-B474-42A19BD8D167}" xr6:coauthVersionLast="47" xr6:coauthVersionMax="47" xr10:uidLastSave="{187B589F-E519-4E93-A333-76E22228B6E7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51" l="1"/>
  <c r="C17" i="51"/>
  <c r="G13" i="51" l="1"/>
  <c r="C9" i="5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<sst xmlns="http://schemas.openxmlformats.org/spreadsheetml/2006/main" count="96" uniqueCount="68">
  <si>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</si>
  <si>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</si>
  <si>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</si>
  <si>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</si>
  <si>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</si>
  <si>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</si>
  <si>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</si>
  <si>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</si>
  <si>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</si>
  <si>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</si>
  <si>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</si>
  <si>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</si>
  <si>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</si>
  <si>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</si>
  <si>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</si>
  <si>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</si>
  <si>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</si>
  <si>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</si>
  <si>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</si>
  <si>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</si>
  <si>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</si>
  <si>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</si>
  <si>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</si>
  <si>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</si>
  <si>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</si>
  <si>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</si>
  <si>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</si>
  <si>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</si>
  <si>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</si>
  <si>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</si>
  <si>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</si>
  <si>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</si>
  <si>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</si>
  <si>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</si>
  <si>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</si>
  <si>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</si>
  <si>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</si>
  <si>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</si>
  <si>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</si>
  <si>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</si>
  <si>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</si>
  <si>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</si>
  <si>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</si>
  <si>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</si>
  <si>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</si>
  <si>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</si>
  <si>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</si>
  <si>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</si>
  <si>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</si>
  <si>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</si>
  <si>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</si>
  <si>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</si>
  <si>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</si>
  <si>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</si>
  <si>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</si>
  <si>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</si>
  <si>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</si>
  <si>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Analysis_Case</t>
  </si>
  <si>
    <t>New Algorithm</t>
  </si>
  <si>
    <t>New_Algorithm</t>
  </si>
  <si>
    <t>New_Algorithm_Default</t>
  </si>
  <si>
    <t>Diff-evo</t>
  </si>
  <si>
    <t>New_Algorithm_Diff-evo</t>
  </si>
  <si>
    <t>Default\Default\Constant_CO2\Lib-Default_Default-CO2_200_0.xlsm</t>
  </si>
  <si>
    <t>Default Default CO2_200_0</t>
  </si>
  <si>
    <t>New_Algorithm\Diff-evo\Constant_CO2\Lib-New_Algorithm_Diff-evo-CO2_200_0.xlsm</t>
  </si>
  <si>
    <t>New_Algorithm Diff-evo CO2_200_0</t>
  </si>
  <si>
    <t>2025-07-11_Diff_evo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</si>
</sst>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B3" sqref="B3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67</v>
      </c>
      <c r="C2" s="15" t="s">
        <v>6</v>
      </c>
      <c r="D2" s="11" t="s">
        <v>58</v>
      </c>
      <c r="E2" s="12" t="s">
        <v>61</v>
      </c>
      <c r="F2" s="12" t="s">
        <v>13</v>
      </c>
      <c r="G2" s="13">
        <v>200</v>
      </c>
    </row>
    <row r="9" spans="1:8" ht="14.65" x14ac:dyDescent="0.85">
      <c r="G9" s="3"/>
    </row>
    <row r="10" spans="1:8" ht="14.65" x14ac:dyDescent="0.85">
      <c r="B10" s="1" t="s">
        <v>10</v>
      </c>
      <c r="C10">
        <v>2</v>
      </c>
    </row>
    <row r="11" spans="1:8" x14ac:dyDescent="0.85">
      <c r="B11" t="s">
        <v>64</v>
      </c>
      <c r="C11" s="18" t="s">
        <v>63</v>
      </c>
      <c r="D11" s="17"/>
      <c r="E11" s="17"/>
      <c r="F11" s="17"/>
      <c r="G11" s="17"/>
      <c r="H11" s="17"/>
    </row>
    <row r="12" spans="1:8" x14ac:dyDescent="0.85">
      <c r="B12" t="s">
        <v>66</v>
      </c>
      <c r="C12" s="18" t="s">
        <v>65</v>
      </c>
      <c r="D12" s="17"/>
      <c r="E12" s="17"/>
      <c r="F12" s="17"/>
      <c r="G12" s="17"/>
      <c r="H12" s="17"/>
    </row>
    <row r="13" spans="1:8" x14ac:dyDescent="0.85">
      <c r="C13" s="18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A7" sqref="A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16</v>
      </c>
      <c r="C3" t="s">
        <v>13</v>
      </c>
      <c r="D3" s="4">
        <v>0</v>
      </c>
    </row>
    <row r="4" spans="1:4" x14ac:dyDescent="0.85">
      <c r="A4" t="s">
        <v>14</v>
      </c>
      <c r="B4" t="s">
        <v>61</v>
      </c>
      <c r="C4" t="s">
        <v>9</v>
      </c>
      <c r="D4" s="4">
        <v>100</v>
      </c>
    </row>
    <row r="5" spans="1:4" x14ac:dyDescent="0.85">
      <c r="A5" t="e">
        <v>#N/A</v>
      </c>
      <c r="B5" t="e">
        <v>#N/A</v>
      </c>
      <c r="D5" s="4">
        <v>200</v>
      </c>
    </row>
    <row r="6" spans="1:4" x14ac:dyDescent="0.85">
      <c r="A6" t="s">
        <v>16</v>
      </c>
      <c r="D6" s="4">
        <v>350</v>
      </c>
    </row>
    <row r="7" spans="1:4" x14ac:dyDescent="0.85">
      <c r="A7" t="e">
        <v>#N/A</v>
      </c>
      <c r="D7" s="4">
        <v>500</v>
      </c>
    </row>
    <row r="8" spans="1:4" x14ac:dyDescent="0.85">
      <c r="A8" t="s">
        <v>17</v>
      </c>
    </row>
    <row r="9" spans="1:4" x14ac:dyDescent="0.85">
      <c r="A9" t="s">
        <v>7</v>
      </c>
    </row>
    <row r="10" spans="1:4" x14ac:dyDescent="0.85">
      <c r="A10" t="s">
        <v>58</v>
      </c>
    </row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A6" zoomScale="85" zoomScaleNormal="85" workbookViewId="0">
      <selection activeCell="I17" sqref="I17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57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100</v>
      </c>
      <c r="M4" s="6">
        <v>10</v>
      </c>
    </row>
    <row r="5" spans="1:13" ht="14.65" x14ac:dyDescent="0.85">
      <c r="A5" s="6" t="s">
        <v>33</v>
      </c>
      <c r="B5" s="6" t="s">
        <v>12</v>
      </c>
      <c r="C5" s="6" t="str">
        <f t="shared" ref="C5:C9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350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500</v>
      </c>
      <c r="M7" s="6">
        <v>30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29.15" x14ac:dyDescent="0.85">
      <c r="A9" s="6" t="s">
        <v>59</v>
      </c>
      <c r="B9" s="6" t="s">
        <v>58</v>
      </c>
      <c r="C9" s="6" t="str">
        <f t="shared" si="1"/>
        <v>New_Algorithm</v>
      </c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85" x14ac:dyDescent="0.85">
      <c r="I11" s="6" t="str">
        <f>C7 &amp; "_" &amp; E5</f>
        <v>Cheap_Renewable_Half_Cap</v>
      </c>
      <c r="J11" s="6" t="s">
        <v>52</v>
      </c>
    </row>
    <row r="12" spans="1:13" ht="43.85" x14ac:dyDescent="0.85">
      <c r="I12" s="6" t="s">
        <v>53</v>
      </c>
      <c r="J12" s="6" t="s">
        <v>54</v>
      </c>
    </row>
    <row r="13" spans="1:13" ht="29.15" x14ac:dyDescent="0.85">
      <c r="E13" s="6" t="s">
        <v>27</v>
      </c>
      <c r="F13" s="6" t="s">
        <v>27</v>
      </c>
      <c r="G13" s="6" t="str">
        <f t="shared" ref="G13" si="2">E13</f>
        <v>Default</v>
      </c>
      <c r="I13" s="6" t="str">
        <f>A8 &amp; "_" &amp; E8</f>
        <v>Interest_Rate_3pct_Interest</v>
      </c>
      <c r="J13" s="6" t="s">
        <v>55</v>
      </c>
    </row>
    <row r="14" spans="1:13" x14ac:dyDescent="0.85">
      <c r="E14" s="6" t="s">
        <v>61</v>
      </c>
      <c r="F14" s="6" t="s">
        <v>61</v>
      </c>
      <c r="G14" s="6" t="str">
        <f>E14</f>
        <v>Diff-evo</v>
      </c>
      <c r="I14" s="6" t="str">
        <f>A8 &amp; "_" &amp; E9</f>
        <v>Interest_Rate_6pct_Interest</v>
      </c>
      <c r="J14" s="6" t="s">
        <v>56</v>
      </c>
    </row>
    <row r="15" spans="1:13" ht="14.65" x14ac:dyDescent="0.85">
      <c r="I15" s="6" t="s">
        <v>60</v>
      </c>
    </row>
    <row r="16" spans="1:13" x14ac:dyDescent="0.85">
      <c r="I16" s="6" t="s">
        <v>62</v>
      </c>
    </row>
    <row r="17" spans="3:3" ht="14.65" x14ac:dyDescent="0.85">
      <c r="C17" s="6">
        <f t="shared" ref="C17" si="3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2025-07-11T21:17:09Z</dcterms:modified>
  <cp:category/>
  <cp:contentStatus/>
</cp:coreProperties>
</file>