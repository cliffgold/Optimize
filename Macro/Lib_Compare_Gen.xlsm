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2775" documentId="13_ncr:1_{4B2B8139-C58D-4114-B474-42A19BD8D167}" xr6:coauthVersionLast="47" xr6:coauthVersionMax="47" xr10:uidLastSave="{A621A740-DE61-4D83-8FCC-92F865DA1150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51" l="1"/>
  <c r="G11" i="51" l="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A1" authorId="0" shapeId="0" xr:uid="{C2360EB5-39D9-4BC1-ACAD-7FFDAB45370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
</t>
        </r>
      </text>
    </comment>
    <comment ref="E1" authorId="0" shapeId="0" xr:uid="{00F450F8-0459-41EB-80C4-22ABA3E3964F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</t>
        </r>
      </text>
    </comment>
    <comment ref="I1" authorId="0" shapeId="0" xr:uid="{3D7A0807-1B2B-43E4-A258-B82CA1A2969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This column is scanned to find which cases belong to which analysis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<sst xmlns="http://schemas.openxmlformats.org/spreadsheetml/2006/main" count="90" uniqueCount="64">
  <si>
    <t>User Filename</t>
  </si>
  <si>
    <t>Analysis Type</t>
  </si>
  <si>
    <t>Case</t>
  </si>
  <si>
    <t>CO2 Type</t>
  </si>
  <si>
    <t>CO2 Value</t>
  </si>
  <si>
    <t>Results\ Lib_Compare_</t>
  </si>
  <si>
    <t>.xlsm</t>
  </si>
  <si>
    <t>Reduced interest Rate from 12%</t>
  </si>
  <si>
    <t>To 3% per year</t>
  </si>
  <si>
    <t>Increasing_CO2</t>
  </si>
  <si>
    <t>Cases</t>
  </si>
  <si>
    <t>CO2</t>
  </si>
  <si>
    <t>Reduced Nuclear Capital Cost</t>
  </si>
  <si>
    <t>Constant_CO2</t>
  </si>
  <si>
    <t>Reduced Solar/Wind/Battery Capital Cost</t>
  </si>
  <si>
    <t>To 6% per year</t>
  </si>
  <si>
    <t>Nominal</t>
  </si>
  <si>
    <t>Increase Max Build Rate All NRGs</t>
  </si>
  <si>
    <t>Analysis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</si>
  <si>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</si>
  <si>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</si>
  <si>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</si>
  <si>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</si>
  <si>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</si>
  <si>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</si>
  <si>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</si>
  <si>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-&lt;0&gt;-</t>
  </si>
  <si>
    <t>Default</t>
  </si>
  <si>
    <t>Debug</t>
  </si>
  <si>
    <t>3_Qtr_Cap</t>
  </si>
  <si>
    <t>By 25%</t>
  </si>
  <si>
    <t>Debug_5%_Per_Year</t>
  </si>
  <si>
    <t>Nuke_Cap$_0.95_0.95</t>
  </si>
  <si>
    <t>Cheap_Nuclear</t>
  </si>
  <si>
    <t>Half_Cap</t>
  </si>
  <si>
    <t>In Half</t>
  </si>
  <si>
    <t>Nuke_Cap$_0.75_1</t>
  </si>
  <si>
    <t>Fast_Build</t>
  </si>
  <si>
    <t>Double_All</t>
  </si>
  <si>
    <t>By 2x</t>
  </si>
  <si>
    <t>Nuke_Cap$_0.5_1</t>
  </si>
  <si>
    <t>Cheap_Renewable</t>
  </si>
  <si>
    <t>Quad_All</t>
  </si>
  <si>
    <t>By 4x</t>
  </si>
  <si>
    <t>Interest_Rate</t>
  </si>
  <si>
    <t>3pct_Interest</t>
  </si>
  <si>
    <t>All_NRG_Grow_2_1</t>
  </si>
  <si>
    <t>6pct_Interest</t>
  </si>
  <si>
    <t>All_NRG_Grow_4_1</t>
  </si>
  <si>
    <t>5pct_Per_Year</t>
  </si>
  <si>
    <t>5% Cheaper Per Year</t>
  </si>
  <si>
    <t>Solar_Cap$_0.75_1-Wind_Cap$_0.75_1-Batt_Cap$_0.75_1</t>
  </si>
  <si>
    <t>Solar_Cap$_0.5_1-Wind_Cap$_0.5_1-Batt_Cap$_0.5_1</t>
  </si>
  <si>
    <t>Cheap_Renewable_5%_Per_Year</t>
  </si>
  <si>
    <t>Solar_Cap$_0.95_0.95-Wind_Cap$_0.95_0.95-Batt_Cap$_0.95_0.95</t>
  </si>
  <si>
    <t>Int_0.03_1</t>
  </si>
  <si>
    <t>Int_0.06_1</t>
  </si>
  <si>
    <t>Analysis_Case</t>
  </si>
  <si>
    <t>2025-07-28</t>
  </si>
  <si>
    <t>Default\Default\Lib-Default_Default-CO2_40_40.xlsm</t>
  </si>
  <si>
    <t>Default Default CO2_40_40</t>
  </si>
  <si>
    <t>Default_Debug</t>
  </si>
  <si>
    <t>Default\Debug\Lib-Default_Debug-CO2_40_40.xlsm</t>
  </si>
  <si>
    <t>Default Debug CO2_40_40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</si>
</sst>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E2" sqref="E2"/>
    </sheetView>
  </sheetViews>
  <sheetFormatPr defaultRowHeight="14.6" x14ac:dyDescent="0.85"/>
  <cols>
    <col min="1" max="1" width="12.265625" bestFit="1" customWidth="1"/>
    <col min="2" max="2" width="37.265625" customWidth="1"/>
    <col min="3" max="3" width="5.69140625" customWidth="1"/>
    <col min="4" max="4" width="29.265625" customWidth="1"/>
    <col min="5" max="5" width="22.265625" customWidth="1"/>
    <col min="6" max="6" width="17.69140625" customWidth="1"/>
    <col min="7" max="7" width="11.421875" customWidth="1"/>
  </cols>
  <sheetData>
    <row r="1" spans="1:8" s="2" customFormat="1" ht="16.149999999999999" customHeight="1" x14ac:dyDescent="0.9">
      <c r="B1" s="2" t="s">
        <v>0</v>
      </c>
      <c r="D1" s="2" t="s">
        <v>1</v>
      </c>
      <c r="E1" s="2" t="s">
        <v>2</v>
      </c>
      <c r="F1" s="2" t="s">
        <v>3</v>
      </c>
      <c r="G1" s="2" t="s">
        <v>4</v>
      </c>
    </row>
    <row r="2" spans="1:8" s="14" customFormat="1" ht="43.75" x14ac:dyDescent="0.85">
      <c r="A2" s="16" t="s">
        <v>5</v>
      </c>
      <c r="B2" s="10" t="s">
        <v>58</v>
      </c>
      <c r="C2" s="15" t="s">
        <v>6</v>
      </c>
      <c r="D2" s="11" t="s">
        <v>16</v>
      </c>
      <c r="E2" s="12" t="s">
        <v>28</v>
      </c>
      <c r="F2" s="12" t="s">
        <v>9</v>
      </c>
      <c r="G2" s="13">
        <v>40</v>
      </c>
    </row>
    <row r="9" spans="1:8" ht="14.65" x14ac:dyDescent="0.85">
      <c r="G9" s="3"/>
    </row>
    <row r="10" spans="1:8" ht="14.65" x14ac:dyDescent="0.85">
      <c r="B10" s="1" t="s">
        <v>10</v>
      </c>
      <c r="C10">
        <v>2</v>
      </c>
    </row>
    <row r="11" spans="1:8" x14ac:dyDescent="0.85">
      <c r="B11" t="s">
        <v>60</v>
      </c>
      <c r="C11" s="18" t="s">
        <v>59</v>
      </c>
      <c r="D11" s="17"/>
      <c r="E11" s="17"/>
      <c r="F11" s="17"/>
      <c r="G11" s="17"/>
      <c r="H11" s="17"/>
    </row>
    <row r="12" spans="1:8" x14ac:dyDescent="0.85">
      <c r="B12" t="s">
        <v>63</v>
      </c>
      <c r="C12" s="18" t="s">
        <v>62</v>
      </c>
      <c r="D12" s="17"/>
      <c r="E12" s="17"/>
      <c r="F12" s="17"/>
      <c r="G12" s="17"/>
      <c r="H12" s="17"/>
    </row>
    <row r="13" spans="1:8" x14ac:dyDescent="0.85">
      <c r="C13" s="18"/>
      <c r="D13" s="17"/>
      <c r="E13" s="17"/>
      <c r="F13" s="17"/>
      <c r="G13" s="17"/>
      <c r="H13" s="17"/>
    </row>
    <row r="14" spans="1:8" ht="14.65" x14ac:dyDescent="0.85">
      <c r="C14" s="17"/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ht="14.65" x14ac:dyDescent="0.85">
      <c r="C16" s="17"/>
      <c r="D16" s="17"/>
      <c r="E16" s="17"/>
      <c r="F16" s="17"/>
      <c r="G16" s="17"/>
      <c r="H16" s="17"/>
    </row>
    <row r="17" spans="3:8" ht="14.65" x14ac:dyDescent="0.85">
      <c r="C17" s="17"/>
      <c r="D17" s="17"/>
      <c r="E17" s="17"/>
      <c r="F17" s="17"/>
      <c r="G17" s="17"/>
      <c r="H17" s="17"/>
    </row>
    <row r="18" spans="3:8" x14ac:dyDescent="0.85">
      <c r="C18" s="17"/>
      <c r="D18" s="17"/>
      <c r="E18" s="17"/>
      <c r="F18" s="17"/>
      <c r="G18" s="17"/>
      <c r="H18" s="17"/>
    </row>
    <row r="19" spans="3:8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  <x14:dataValidation type="list" allowBlank="1" showInputMessage="1" showErrorMessage="1" xr:uid="{C8B6093B-9B27-4EF5-8F31-C73C6C090782}">
          <x14:formula1>
            <xm:f>Structure!$A$2:$A$96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1"/>
  <sheetViews>
    <sheetView workbookViewId="0">
      <selection activeCell="F7" sqref="F7"/>
    </sheetView>
  </sheetViews>
  <sheetFormatPr defaultRowHeight="14.6" x14ac:dyDescent="0.85"/>
  <cols>
    <col min="1" max="1" width="33.8828125" bestFit="1" customWidth="1"/>
    <col min="2" max="3" width="19.265625" customWidth="1"/>
    <col min="4" max="4" width="6.15234375" customWidth="1"/>
  </cols>
  <sheetData>
    <row r="1" spans="1:4" x14ac:dyDescent="0.85">
      <c r="A1" t="s">
        <v>1</v>
      </c>
      <c r="B1" t="s">
        <v>2</v>
      </c>
      <c r="C1" t="s">
        <v>3</v>
      </c>
      <c r="D1" t="s">
        <v>11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12</v>
      </c>
      <c r="B3" t="s">
        <v>28</v>
      </c>
      <c r="C3" t="s">
        <v>13</v>
      </c>
      <c r="D3" s="4">
        <v>0</v>
      </c>
    </row>
    <row r="4" spans="1:4" x14ac:dyDescent="0.85">
      <c r="A4" t="s">
        <v>14</v>
      </c>
      <c r="B4" t="s">
        <v>16</v>
      </c>
      <c r="C4" t="s">
        <v>9</v>
      </c>
      <c r="D4" s="4">
        <v>5</v>
      </c>
    </row>
    <row r="5" spans="1:4" x14ac:dyDescent="0.85">
      <c r="A5" t="s">
        <v>16</v>
      </c>
      <c r="D5" s="4">
        <v>10</v>
      </c>
    </row>
    <row r="6" spans="1:4" x14ac:dyDescent="0.85">
      <c r="A6" t="e">
        <v>#N/A</v>
      </c>
      <c r="D6" s="4">
        <v>20</v>
      </c>
    </row>
    <row r="7" spans="1:4" x14ac:dyDescent="0.85">
      <c r="A7" t="s">
        <v>17</v>
      </c>
      <c r="D7" s="4">
        <v>40</v>
      </c>
    </row>
    <row r="8" spans="1:4" x14ac:dyDescent="0.85">
      <c r="A8" t="s">
        <v>7</v>
      </c>
    </row>
    <row r="9" spans="1:4" x14ac:dyDescent="0.85">
      <c r="A9" t="e">
        <v>#N/A</v>
      </c>
    </row>
    <row r="10" spans="1:4" x14ac:dyDescent="0.85">
      <c r="A10" t="e">
        <v>#N/A</v>
      </c>
    </row>
    <row r="11" spans="1:4" x14ac:dyDescent="0.8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B7" zoomScale="85" zoomScaleNormal="85" workbookViewId="0">
      <selection activeCell="I16" sqref="I16"/>
    </sheetView>
  </sheetViews>
  <sheetFormatPr defaultColWidth="36.57421875" defaultRowHeight="14.6" x14ac:dyDescent="0.85"/>
  <cols>
    <col min="1" max="1" width="15.421875" style="6" bestFit="1" customWidth="1"/>
    <col min="2" max="2" width="27.421875" style="6" bestFit="1" customWidth="1"/>
    <col min="3" max="3" width="15.421875" style="6" bestFit="1" customWidth="1"/>
    <col min="4" max="4" width="4.15234375" style="9" customWidth="1"/>
    <col min="5" max="5" width="12.421875" style="6" customWidth="1"/>
    <col min="6" max="6" width="17.265625" style="6" bestFit="1" customWidth="1"/>
    <col min="7" max="7" width="12.57421875" style="6" customWidth="1"/>
    <col min="8" max="8" width="3.421875" style="9" customWidth="1"/>
    <col min="9" max="9" width="28.4609375" style="6" customWidth="1"/>
    <col min="10" max="10" width="19.69140625" style="6" customWidth="1"/>
    <col min="11" max="11" width="3.265625" style="9" customWidth="1"/>
    <col min="12" max="12" width="11.69140625" style="6" bestFit="1" customWidth="1"/>
    <col min="13" max="13" width="11.265625" style="6" bestFit="1" customWidth="1"/>
    <col min="14" max="16384" width="36.57421875" style="6"/>
  </cols>
  <sheetData>
    <row r="1" spans="1:13" s="5" customFormat="1" ht="29.15" x14ac:dyDescent="0.85">
      <c r="A1" s="5" t="s">
        <v>18</v>
      </c>
      <c r="B1" s="5" t="s">
        <v>19</v>
      </c>
      <c r="C1" s="5" t="s">
        <v>20</v>
      </c>
      <c r="D1" s="8"/>
      <c r="E1" s="5" t="s">
        <v>2</v>
      </c>
      <c r="F1" s="5" t="s">
        <v>21</v>
      </c>
      <c r="G1" s="5" t="s">
        <v>22</v>
      </c>
      <c r="H1" s="8"/>
      <c r="I1" s="5" t="s">
        <v>57</v>
      </c>
      <c r="J1" s="5" t="s">
        <v>23</v>
      </c>
      <c r="K1" s="8"/>
      <c r="L1" s="5" t="s">
        <v>24</v>
      </c>
      <c r="M1" s="5" t="s">
        <v>25</v>
      </c>
    </row>
    <row r="2" spans="1:13" ht="14.65" x14ac:dyDescent="0.85">
      <c r="A2" s="7" t="s">
        <v>26</v>
      </c>
      <c r="B2" s="7" t="s">
        <v>26</v>
      </c>
      <c r="C2" s="6" t="str">
        <f>A2</f>
        <v>-&lt;0&gt;-</v>
      </c>
      <c r="E2" s="7" t="s">
        <v>26</v>
      </c>
      <c r="F2" s="7" t="s">
        <v>26</v>
      </c>
      <c r="G2" s="6" t="str">
        <f t="shared" ref="G2:G10" si="0">E2</f>
        <v>-&lt;0&gt;-</v>
      </c>
      <c r="I2" s="6" t="str">
        <f>A2 &amp; "_" &amp; E2</f>
        <v>-&lt;0&gt;-_-&lt;0&gt;-</v>
      </c>
      <c r="L2" s="7" t="s">
        <v>26</v>
      </c>
      <c r="M2" s="7" t="s">
        <v>26</v>
      </c>
    </row>
    <row r="3" spans="1:13" ht="14.65" x14ac:dyDescent="0.85">
      <c r="A3" s="6" t="s">
        <v>27</v>
      </c>
      <c r="B3" s="6" t="s">
        <v>16</v>
      </c>
      <c r="C3" s="6" t="str">
        <f>A3</f>
        <v>Default</v>
      </c>
      <c r="E3" s="6" t="s">
        <v>27</v>
      </c>
      <c r="F3" s="6" t="s">
        <v>16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28</v>
      </c>
      <c r="B4" s="6" t="s">
        <v>28</v>
      </c>
      <c r="C4" s="6" t="s">
        <v>28</v>
      </c>
      <c r="E4" s="6" t="s">
        <v>29</v>
      </c>
      <c r="F4" s="6" t="s">
        <v>30</v>
      </c>
      <c r="G4" s="6" t="str">
        <f t="shared" si="0"/>
        <v>3_Qtr_Cap</v>
      </c>
      <c r="I4" s="6" t="s">
        <v>31</v>
      </c>
      <c r="J4" s="6" t="s">
        <v>32</v>
      </c>
      <c r="L4" s="6">
        <v>25</v>
      </c>
      <c r="M4" s="6">
        <v>5</v>
      </c>
    </row>
    <row r="5" spans="1:13" ht="14.65" x14ac:dyDescent="0.85">
      <c r="A5" s="6" t="s">
        <v>33</v>
      </c>
      <c r="B5" s="6" t="s">
        <v>12</v>
      </c>
      <c r="C5" s="6" t="str">
        <f t="shared" ref="C5:C8" si="1">A5</f>
        <v>Cheap_Nuclear</v>
      </c>
      <c r="E5" s="6" t="s">
        <v>34</v>
      </c>
      <c r="F5" s="6" t="s">
        <v>35</v>
      </c>
      <c r="G5" s="6" t="str">
        <f t="shared" si="0"/>
        <v>Half_Cap</v>
      </c>
      <c r="I5" s="6" t="str">
        <f>A5 &amp; "_" &amp; E4</f>
        <v>Cheap_Nuclear_3_Qtr_Cap</v>
      </c>
      <c r="J5" s="6" t="s">
        <v>36</v>
      </c>
      <c r="L5" s="6">
        <v>50</v>
      </c>
      <c r="M5" s="6">
        <v>10</v>
      </c>
    </row>
    <row r="6" spans="1:13" ht="29.15" x14ac:dyDescent="0.85">
      <c r="A6" s="6" t="s">
        <v>37</v>
      </c>
      <c r="B6" s="6" t="s">
        <v>17</v>
      </c>
      <c r="C6" s="6" t="str">
        <f t="shared" si="1"/>
        <v>Fast_Build</v>
      </c>
      <c r="E6" s="6" t="s">
        <v>38</v>
      </c>
      <c r="F6" s="6" t="s">
        <v>39</v>
      </c>
      <c r="G6" s="6" t="str">
        <f t="shared" si="0"/>
        <v>Double_All</v>
      </c>
      <c r="I6" s="6" t="str">
        <f>A5 &amp; "_" &amp; E5</f>
        <v>Cheap_Nuclear_Half_Cap</v>
      </c>
      <c r="J6" s="6" t="s">
        <v>40</v>
      </c>
      <c r="L6" s="6">
        <v>100</v>
      </c>
      <c r="M6" s="6">
        <v>20</v>
      </c>
    </row>
    <row r="7" spans="1:13" ht="29.15" x14ac:dyDescent="0.85">
      <c r="A7" s="6" t="s">
        <v>41</v>
      </c>
      <c r="B7" s="6" t="s">
        <v>14</v>
      </c>
      <c r="C7" s="6" t="str">
        <f t="shared" si="1"/>
        <v>Cheap_Renewable</v>
      </c>
      <c r="E7" s="6" t="s">
        <v>42</v>
      </c>
      <c r="F7" s="6" t="s">
        <v>43</v>
      </c>
      <c r="G7" s="6" t="str">
        <f t="shared" si="0"/>
        <v>Quad_All</v>
      </c>
      <c r="I7" s="6" t="str">
        <f>A5 &amp; "_" &amp; E10</f>
        <v>Cheap_Nuclear_5pct_Per_Year</v>
      </c>
      <c r="J7" s="6" t="s">
        <v>32</v>
      </c>
      <c r="L7" s="6">
        <v>200</v>
      </c>
      <c r="M7" s="6">
        <v>40</v>
      </c>
    </row>
    <row r="8" spans="1:13" ht="14.65" x14ac:dyDescent="0.85">
      <c r="A8" s="6" t="s">
        <v>44</v>
      </c>
      <c r="B8" s="6" t="s">
        <v>7</v>
      </c>
      <c r="C8" s="6" t="str">
        <f t="shared" si="1"/>
        <v>Interest_Rate</v>
      </c>
      <c r="E8" s="6" t="s">
        <v>45</v>
      </c>
      <c r="F8" s="6" t="s">
        <v>8</v>
      </c>
      <c r="G8" s="6" t="str">
        <f t="shared" si="0"/>
        <v>3pct_Interest</v>
      </c>
      <c r="I8" s="6" t="str">
        <f>A6 &amp; "_" &amp; E6</f>
        <v>Fast_Build_Double_All</v>
      </c>
      <c r="J8" s="6" t="s">
        <v>46</v>
      </c>
    </row>
    <row r="9" spans="1:13" ht="14.65" x14ac:dyDescent="0.85">
      <c r="E9" s="6" t="s">
        <v>47</v>
      </c>
      <c r="F9" s="6" t="s">
        <v>15</v>
      </c>
      <c r="G9" s="6" t="str">
        <f t="shared" si="0"/>
        <v>6pct_Interest</v>
      </c>
      <c r="I9" s="6" t="str">
        <f>A6 &amp; "_" &amp;E7</f>
        <v>Fast_Build_Quad_All</v>
      </c>
      <c r="J9" s="6" t="s">
        <v>48</v>
      </c>
    </row>
    <row r="10" spans="1:13" ht="43.9" x14ac:dyDescent="0.85">
      <c r="E10" s="6" t="s">
        <v>49</v>
      </c>
      <c r="F10" s="6" t="s">
        <v>50</v>
      </c>
      <c r="G10" s="6" t="str">
        <f t="shared" si="0"/>
        <v>5pct_Per_Year</v>
      </c>
      <c r="I10" s="6" t="str">
        <f>C7 &amp; "_" &amp; E4</f>
        <v>Cheap_Renewable_3_Qtr_Cap</v>
      </c>
      <c r="J10" s="6" t="s">
        <v>51</v>
      </c>
    </row>
    <row r="11" spans="1:13" ht="43.75" x14ac:dyDescent="0.85">
      <c r="E11" s="6" t="s">
        <v>28</v>
      </c>
      <c r="F11" s="6" t="s">
        <v>28</v>
      </c>
      <c r="G11" s="6" t="str">
        <f t="shared" ref="G11" si="2">E11</f>
        <v>Debug</v>
      </c>
      <c r="I11" s="6" t="str">
        <f>C7 &amp; "_" &amp; E5</f>
        <v>Cheap_Renewable_Half_Cap</v>
      </c>
      <c r="J11" s="6" t="s">
        <v>52</v>
      </c>
    </row>
    <row r="12" spans="1:13" ht="43.9" x14ac:dyDescent="0.85">
      <c r="I12" s="6" t="s">
        <v>53</v>
      </c>
      <c r="J12" s="6" t="s">
        <v>54</v>
      </c>
    </row>
    <row r="13" spans="1:13" ht="14.65" x14ac:dyDescent="0.85">
      <c r="I13" s="6" t="str">
        <f>A8 &amp; "_" &amp; E8</f>
        <v>Interest_Rate_3pct_Interest</v>
      </c>
      <c r="J13" s="6" t="s">
        <v>55</v>
      </c>
    </row>
    <row r="14" spans="1:13" ht="14.65" x14ac:dyDescent="0.85">
      <c r="I14" s="6" t="str">
        <f>A8 &amp; "_" &amp; E9</f>
        <v>Interest_Rate_6pct_Interest</v>
      </c>
      <c r="J14" s="6" t="s">
        <v>56</v>
      </c>
    </row>
    <row r="15" spans="1:13" x14ac:dyDescent="0.85">
      <c r="I15" s="6" t="s">
        <v>61</v>
      </c>
    </row>
    <row r="17" spans="3:3" ht="14.65" x14ac:dyDescent="0.85">
      <c r="C17" s="6">
        <f t="shared" ref="C17" si="3">A17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Cliff Gold</dc:creator>
  <cp:keywords/>
  <dc:description/>
  <cp:lastModifiedBy>Cliff Gold</cp:lastModifiedBy>
  <cp:revision/>
  <dcterms:created xsi:type="dcterms:W3CDTF">2023-10-26T21:09:11Z</dcterms:created>
  <dcterms:modified xsi:type="dcterms:W3CDTF">2025-07-28T19:23:15Z</dcterms:modified>
  <cp:category/>
  <cp:contentStatus/>
</cp:coreProperties>
</file>