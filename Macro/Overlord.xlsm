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D908B6B-0B34-4802-83FA-E5EB6DFEA310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Program!$E$8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<sst xmlns="http://schemas.openxmlformats.org/spreadsheetml/2006/main" count="172" uniqueCount="118">
  <si>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</si>
  <si>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</si>
  <si>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</si>
  <si>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</si>
  <si>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</si>
  <si>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</si>
  <si>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</si>
  <si>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</si>
  <si>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</si>
  <si>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</si>
  <si>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</si>
  <si>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</si>
  <si>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</si>
  <si>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</si>
  <si>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</si>
  <si>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</si>
  <si>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</si>
  <si>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</si>
  <si>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</si>
  <si>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</si>
  <si>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</si>
  <si>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</si>
  <si>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</si>
  <si>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</si>
  <si>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</si>
  <si>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</si>
  <si>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</si>
  <si>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</si>
  <si>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</si>
  <si>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</si>
  <si>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</si>
  <si>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</si>
  <si>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</si>
  <si>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</si>
  <si>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</si>
  <si>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</si>
  <si>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</si>
  <si>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</si>
  <si>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</si>
  <si>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</si>
  <si>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</si>
  <si>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</si>
  <si>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</si>
  <si>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</si>
  <si>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</si>
  <si>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</si>
  <si>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</si>
  <si>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</si>
  <si>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</si>
  <si>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</si>
  <si>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</si>
  <si>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</si>
  <si>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</si>
  <si>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</si>
  <si>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</si>
  <si>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</si>
  <si>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</si>
  <si>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</si>
  <si>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</si>
  <si>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</si>
  <si>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</si>
  <si>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</si>
  <si>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</si>
  <si>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</si>
  <si>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</si>
  <si>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</si>
  <si>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</si>
  <si>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</si>
  <si>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</si>
  <si>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</si>
  <si>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</si>
  <si>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</si>
  <si>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</si>
  <si>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</si>
  <si>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</si>
  <si>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</si>
  <si>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</si>
  <si>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</si>
  <si>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</si>
  <si>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</si>
  <si>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</si>
  <si>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</si>
  <si>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</si>
  <si>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</si>
  <si>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</si>
  <si>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</si>
  <si>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</si>
  <si>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</si>
  <si>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</si>
  <si>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</si>
  <si>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</si>
  <si>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</si>
  <si>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</si>
  <si>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</si>
  <si>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</si>
  <si>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</si>
  <si>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</si>
  <si>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</si>
  <si>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</si>
  <si>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</si>
  <si>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</si>
  <si>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</si>
  <si>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</si>
  <si>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</si>
  <si>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</si>
  <si>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</si>
  <si>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</si>
  <si>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</si>
  <si>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</si>
  <si>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</si>
  <si>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</si>
  <si>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</si>
  <si>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</si>
  <si>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</si>
  <si>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</si>
  <si>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CO2-15-20</t>
  </si>
  <si>
    <t>Debug_2024_03_09</t>
  </si>
  <si>
    <t>CO2-15-10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</si>
</sst>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</cellXfs>
  <cellStyles count="1">
    <cellStyle name="Normal" xfId="0" builtinId="0"/>
  </cellStyles>
  <dxfs count="2"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50"/>
  <sheetViews>
    <sheetView tabSelected="1" workbookViewId="0">
      <pane ySplit="1" topLeftCell="A2" activePane="bottomLeft" state="frozen"/>
      <selection activeCell="B1" sqref="B1"/>
      <selection pane="bottomLeft" activeCell="B5" sqref="B5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38</v>
      </c>
      <c r="C1" s="11" t="s">
        <v>39</v>
      </c>
      <c r="E1" s="15" t="s">
        <v>18</v>
      </c>
      <c r="F1" s="16" t="s">
        <v>38</v>
      </c>
      <c r="G1" s="35" t="s">
        <v>39</v>
      </c>
      <c r="H1" s="17" t="s">
        <v>35</v>
      </c>
      <c r="I1" s="14"/>
      <c r="J1" s="12" t="s">
        <v>0</v>
      </c>
      <c r="K1" s="13"/>
    </row>
    <row r="2" spans="1:11" ht="14.65" x14ac:dyDescent="0.85">
      <c r="A2" s="19" t="s">
        <v>33</v>
      </c>
      <c r="B2" s="20"/>
      <c r="C2" s="21"/>
      <c r="E2" s="4" t="s">
        <v>33</v>
      </c>
      <c r="F2" s="5" t="s">
        <v>47</v>
      </c>
      <c r="G2" s="5" t="s">
        <v>47</v>
      </c>
      <c r="H2" s="6" t="s">
        <v>68</v>
      </c>
      <c r="J2" s="39" t="s">
        <v>1</v>
      </c>
    </row>
    <row r="3" spans="1:11" x14ac:dyDescent="0.85">
      <c r="A3" s="22" t="s">
        <v>34</v>
      </c>
      <c r="B3" s="23" t="s">
        <v>1</v>
      </c>
      <c r="C3" s="24"/>
      <c r="E3" s="49" t="s">
        <v>16</v>
      </c>
      <c r="F3" s="51" t="s">
        <v>48</v>
      </c>
      <c r="G3" s="51" t="s">
        <v>112</v>
      </c>
      <c r="H3" s="53" t="s">
        <v>113</v>
      </c>
      <c r="J3" s="40" t="s">
        <v>2</v>
      </c>
    </row>
    <row r="4" spans="1:11" x14ac:dyDescent="0.85">
      <c r="A4" s="25" t="s">
        <v>37</v>
      </c>
      <c r="B4" s="23">
        <v>5</v>
      </c>
      <c r="C4" s="24"/>
      <c r="E4" s="50"/>
      <c r="F4" s="52"/>
      <c r="G4" s="52"/>
      <c r="H4" s="54"/>
      <c r="J4" s="40" t="s">
        <v>3</v>
      </c>
    </row>
    <row r="5" spans="1:11" x14ac:dyDescent="0.85">
      <c r="A5" s="25" t="s">
        <v>40</v>
      </c>
      <c r="B5" s="23">
        <v>0.02</v>
      </c>
      <c r="C5" s="24">
        <v>0</v>
      </c>
      <c r="E5" s="49" t="s">
        <v>67</v>
      </c>
      <c r="F5" s="51" t="s">
        <v>48</v>
      </c>
      <c r="G5" s="51" t="s">
        <v>47</v>
      </c>
      <c r="H5" s="53" t="s">
        <v>114</v>
      </c>
      <c r="J5" s="40" t="s">
        <v>4</v>
      </c>
    </row>
    <row r="6" spans="1:11" x14ac:dyDescent="0.85">
      <c r="A6" s="31" t="s">
        <v>64</v>
      </c>
      <c r="B6" s="23" t="s">
        <v>116</v>
      </c>
      <c r="C6" s="24"/>
      <c r="E6" s="50"/>
      <c r="F6" s="52"/>
      <c r="G6" s="52"/>
      <c r="H6" s="54"/>
      <c r="J6" s="40" t="s">
        <v>5</v>
      </c>
    </row>
    <row r="7" spans="1:11" ht="14.65" x14ac:dyDescent="0.85">
      <c r="A7" s="31" t="s">
        <v>71</v>
      </c>
      <c r="B7" s="23"/>
      <c r="C7" s="24"/>
      <c r="E7" s="4" t="s">
        <v>19</v>
      </c>
      <c r="F7" s="5" t="s">
        <v>47</v>
      </c>
      <c r="G7" s="5" t="s">
        <v>47</v>
      </c>
      <c r="H7" s="6" t="s">
        <v>20</v>
      </c>
      <c r="J7" s="40" t="s">
        <v>6</v>
      </c>
    </row>
    <row r="8" spans="1:11" ht="14.65" x14ac:dyDescent="0.85">
      <c r="A8" s="22" t="s">
        <v>69</v>
      </c>
      <c r="B8" s="23">
        <v>15</v>
      </c>
      <c r="C8" s="24">
        <v>10</v>
      </c>
      <c r="E8" s="4" t="s">
        <v>37</v>
      </c>
      <c r="F8" s="5" t="s">
        <v>50</v>
      </c>
      <c r="G8" s="5" t="s">
        <v>47</v>
      </c>
      <c r="H8" s="6" t="s">
        <v>49</v>
      </c>
      <c r="J8" s="40" t="s">
        <v>7</v>
      </c>
    </row>
    <row r="9" spans="1:11" ht="14.65" x14ac:dyDescent="0.85">
      <c r="A9" s="22" t="s">
        <v>67</v>
      </c>
      <c r="B9" s="23" t="s">
        <v>117</v>
      </c>
      <c r="C9" s="24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40" t="s">
        <v>8</v>
      </c>
    </row>
    <row r="10" spans="1:11" ht="14.65" x14ac:dyDescent="0.85">
      <c r="A10" s="22" t="s">
        <v>69</v>
      </c>
      <c r="B10" s="23">
        <v>15</v>
      </c>
      <c r="C10" s="24">
        <v>20</v>
      </c>
      <c r="E10" s="4" t="s">
        <v>69</v>
      </c>
      <c r="F10" s="5" t="s">
        <v>81</v>
      </c>
      <c r="G10" s="7" t="s">
        <v>82</v>
      </c>
      <c r="H10" s="6"/>
      <c r="J10" s="40" t="s">
        <v>9</v>
      </c>
    </row>
    <row r="11" spans="1:11" ht="14.65" x14ac:dyDescent="0.85">
      <c r="A11" s="22" t="s">
        <v>67</v>
      </c>
      <c r="B11" s="23" t="s">
        <v>115</v>
      </c>
      <c r="C11" s="24">
        <v>0</v>
      </c>
      <c r="E11" s="4" t="s">
        <v>40</v>
      </c>
      <c r="F11" s="5" t="s">
        <v>41</v>
      </c>
      <c r="G11" s="5" t="s">
        <v>47</v>
      </c>
      <c r="H11" s="6" t="s">
        <v>51</v>
      </c>
      <c r="J11" s="40" t="s">
        <v>10</v>
      </c>
    </row>
    <row r="12" spans="1:11" ht="14.65" x14ac:dyDescent="0.85">
      <c r="A12" s="22"/>
      <c r="B12" s="23"/>
      <c r="C12" s="24"/>
      <c r="E12" s="4" t="s">
        <v>72</v>
      </c>
      <c r="F12" s="5" t="s">
        <v>73</v>
      </c>
      <c r="G12" s="5" t="s">
        <v>47</v>
      </c>
      <c r="H12" s="6" t="s">
        <v>77</v>
      </c>
      <c r="J12" s="40" t="s">
        <v>11</v>
      </c>
    </row>
    <row r="13" spans="1:11" ht="14.65" x14ac:dyDescent="0.85">
      <c r="A13" s="22"/>
      <c r="B13" s="23"/>
      <c r="C13" s="24"/>
      <c r="E13" s="33" t="s">
        <v>71</v>
      </c>
      <c r="F13" s="5" t="s">
        <v>47</v>
      </c>
      <c r="G13" s="5" t="s">
        <v>47</v>
      </c>
      <c r="H13" s="34" t="s">
        <v>80</v>
      </c>
      <c r="J13" s="40" t="s">
        <v>12</v>
      </c>
    </row>
    <row r="14" spans="1:11" ht="15.35" thickBot="1" x14ac:dyDescent="1">
      <c r="A14" s="22"/>
      <c r="B14" s="23"/>
      <c r="C14" s="24"/>
      <c r="E14" s="33" t="s">
        <v>79</v>
      </c>
      <c r="F14" s="5" t="s">
        <v>47</v>
      </c>
      <c r="G14" s="5" t="s">
        <v>47</v>
      </c>
      <c r="H14" s="34" t="s">
        <v>86</v>
      </c>
      <c r="J14" s="40" t="s">
        <v>13</v>
      </c>
    </row>
    <row r="15" spans="1:11" ht="15.35" thickBot="1" x14ac:dyDescent="1">
      <c r="A15" s="22"/>
      <c r="B15" s="23"/>
      <c r="C15" s="24"/>
      <c r="E15" s="42" t="s">
        <v>76</v>
      </c>
      <c r="F15" s="43"/>
      <c r="G15" s="44"/>
      <c r="H15" s="45"/>
      <c r="J15" s="41" t="s">
        <v>14</v>
      </c>
    </row>
    <row r="16" spans="1:11" x14ac:dyDescent="0.85">
      <c r="A16" s="22"/>
      <c r="B16" s="23"/>
      <c r="C16" s="24"/>
      <c r="E16" s="36" t="s">
        <v>87</v>
      </c>
      <c r="F16" s="46" t="s">
        <v>110</v>
      </c>
      <c r="G16" s="46" t="s">
        <v>111</v>
      </c>
      <c r="H16" s="37" t="s">
        <v>83</v>
      </c>
      <c r="J16" s="8"/>
    </row>
    <row r="17" spans="1:8" x14ac:dyDescent="0.85">
      <c r="A17" s="22"/>
      <c r="B17" s="23"/>
      <c r="C17" s="24"/>
      <c r="E17" s="4" t="s">
        <v>74</v>
      </c>
      <c r="F17" s="47"/>
      <c r="G17" s="47"/>
      <c r="H17" s="6" t="s">
        <v>84</v>
      </c>
    </row>
    <row r="18" spans="1:8" x14ac:dyDescent="0.85">
      <c r="A18" s="22"/>
      <c r="B18" s="23"/>
      <c r="C18" s="24"/>
      <c r="E18" s="4" t="s">
        <v>75</v>
      </c>
      <c r="F18" s="47"/>
      <c r="G18" s="47"/>
      <c r="H18" s="6" t="s">
        <v>85</v>
      </c>
    </row>
    <row r="19" spans="1:8" x14ac:dyDescent="0.85">
      <c r="A19" s="22"/>
      <c r="B19" s="23"/>
      <c r="C19" s="24"/>
      <c r="E19" s="4" t="s">
        <v>94</v>
      </c>
      <c r="F19" s="47"/>
      <c r="G19" s="47"/>
      <c r="H19" s="6" t="s">
        <v>95</v>
      </c>
    </row>
    <row r="20" spans="1:8" ht="15.25" thickBot="1" x14ac:dyDescent="1">
      <c r="A20" s="22"/>
      <c r="B20" s="23"/>
      <c r="C20" s="24"/>
      <c r="E20" s="38" t="s">
        <v>97</v>
      </c>
      <c r="F20" s="48"/>
      <c r="G20" s="48"/>
      <c r="H20" s="32" t="s">
        <v>96</v>
      </c>
    </row>
    <row r="21" spans="1:8" x14ac:dyDescent="0.85">
      <c r="A21" s="22"/>
      <c r="B21" s="23"/>
      <c r="C21" s="24"/>
    </row>
    <row r="22" spans="1:8" x14ac:dyDescent="0.85">
      <c r="A22" s="22"/>
      <c r="B22" s="23"/>
      <c r="C22" s="24"/>
    </row>
    <row r="23" spans="1:8" x14ac:dyDescent="0.85">
      <c r="A23" s="22"/>
      <c r="B23" s="23"/>
      <c r="C23" s="24"/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x14ac:dyDescent="0.85">
      <c r="A44" s="22"/>
      <c r="B44" s="23"/>
      <c r="C44" s="24"/>
    </row>
    <row r="45" spans="1:3" x14ac:dyDescent="0.85">
      <c r="A45" s="22"/>
      <c r="B45" s="23"/>
      <c r="C45" s="24"/>
    </row>
    <row r="46" spans="1:3" x14ac:dyDescent="0.85">
      <c r="A46" s="22"/>
      <c r="B46" s="23"/>
      <c r="C46" s="24"/>
    </row>
    <row r="47" spans="1:3" x14ac:dyDescent="0.85">
      <c r="A47" s="22"/>
      <c r="B47" s="23"/>
      <c r="C47" s="24"/>
    </row>
    <row r="48" spans="1:3" x14ac:dyDescent="0.85">
      <c r="A48" s="22"/>
      <c r="B48" s="23"/>
      <c r="C48" s="24"/>
    </row>
    <row r="49" spans="1:3" x14ac:dyDescent="0.85">
      <c r="A49" s="22"/>
      <c r="B49" s="23"/>
      <c r="C49" s="24"/>
    </row>
    <row r="50" spans="1:3" ht="15.25" thickBot="1" x14ac:dyDescent="1">
      <c r="A50" s="26"/>
      <c r="B50" s="27"/>
      <c r="C50" s="28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50">
    <cfRule type="expression" dxfId="1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38</v>
      </c>
      <c r="C1" s="11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0" t="s">
        <v>38</v>
      </c>
      <c r="C22" s="11" t="s">
        <v>39</v>
      </c>
      <c r="E22" s="10" t="s">
        <v>38</v>
      </c>
      <c r="F22" s="11" t="s">
        <v>39</v>
      </c>
    </row>
    <row r="23" spans="1:6" x14ac:dyDescent="0.85">
      <c r="B23">
        <v>5</v>
      </c>
      <c r="C23">
        <v>20</v>
      </c>
      <c r="E23" s="29">
        <v>0.05</v>
      </c>
      <c r="F23" s="29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0">
        <f>1+$E$23</f>
        <v>1.05</v>
      </c>
      <c r="F25" s="30"/>
    </row>
    <row r="26" spans="1:6" x14ac:dyDescent="0.85">
      <c r="A26">
        <v>1</v>
      </c>
      <c r="B26">
        <f t="shared" ref="B26:B35" si="0">$B$23+(A26*$C$23)</f>
        <v>25</v>
      </c>
      <c r="E26" s="30">
        <f>E25*(1+$F$23)</f>
        <v>1.26</v>
      </c>
      <c r="F26" s="30"/>
    </row>
    <row r="27" spans="1:6" x14ac:dyDescent="0.85">
      <c r="A27">
        <v>2</v>
      </c>
      <c r="B27">
        <f t="shared" si="0"/>
        <v>45</v>
      </c>
      <c r="E27" s="30">
        <f t="shared" ref="E27:E35" si="1">E26*(1+$F$23)</f>
        <v>1.512</v>
      </c>
      <c r="F27" s="30"/>
    </row>
    <row r="28" spans="1:6" x14ac:dyDescent="0.85">
      <c r="A28">
        <v>3</v>
      </c>
      <c r="B28">
        <f t="shared" si="0"/>
        <v>65</v>
      </c>
      <c r="E28" s="30">
        <f t="shared" si="1"/>
        <v>1.8144</v>
      </c>
      <c r="F28" s="30"/>
    </row>
    <row r="29" spans="1:6" x14ac:dyDescent="0.85">
      <c r="A29">
        <v>4</v>
      </c>
      <c r="B29">
        <f t="shared" si="0"/>
        <v>85</v>
      </c>
      <c r="E29" s="30">
        <f t="shared" si="1"/>
        <v>2.1772800000000001</v>
      </c>
      <c r="F29" s="30"/>
    </row>
    <row r="30" spans="1:6" x14ac:dyDescent="0.85">
      <c r="A30">
        <v>5</v>
      </c>
      <c r="B30">
        <f t="shared" si="0"/>
        <v>105</v>
      </c>
      <c r="E30" s="30">
        <f t="shared" si="1"/>
        <v>2.6127359999999999</v>
      </c>
      <c r="F30" s="30"/>
    </row>
    <row r="31" spans="1:6" x14ac:dyDescent="0.85">
      <c r="A31">
        <v>6</v>
      </c>
      <c r="B31">
        <f t="shared" si="0"/>
        <v>125</v>
      </c>
      <c r="E31" s="30">
        <f t="shared" si="1"/>
        <v>3.1352831999999999</v>
      </c>
      <c r="F31" s="30"/>
    </row>
    <row r="32" spans="1:6" x14ac:dyDescent="0.85">
      <c r="A32">
        <v>7</v>
      </c>
      <c r="B32">
        <f t="shared" si="0"/>
        <v>145</v>
      </c>
      <c r="E32" s="30">
        <f t="shared" si="1"/>
        <v>3.7623398399999997</v>
      </c>
      <c r="F32" s="30"/>
    </row>
    <row r="33" spans="1:5" x14ac:dyDescent="0.85">
      <c r="A33">
        <v>8</v>
      </c>
      <c r="B33">
        <f t="shared" si="0"/>
        <v>165</v>
      </c>
      <c r="E33" s="30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0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0">
        <f t="shared" si="1"/>
        <v>6.501323243519999</v>
      </c>
    </row>
    <row r="36" spans="1:5" x14ac:dyDescent="0.85">
      <c r="E36" s="30"/>
    </row>
  </sheetData>
  <sheetProtection sheet="1" objects="1" scenarios="1"/>
  <conditionalFormatting sqref="B2:C12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72</v>
      </c>
      <c r="G1" t="s">
        <v>69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88</v>
      </c>
      <c r="AH1" t="s">
        <v>89</v>
      </c>
      <c r="AI1" t="s">
        <v>90</v>
      </c>
      <c r="AJ1" t="s">
        <v>91</v>
      </c>
      <c r="AK1" t="s">
        <v>92</v>
      </c>
      <c r="AL1" t="s">
        <v>93</v>
      </c>
    </row>
    <row r="2" spans="1:38" x14ac:dyDescent="0.85">
      <c r="A2" t="s">
        <v>38</v>
      </c>
      <c r="B2" t="s">
        <v>116</v>
      </c>
      <c r="C2" t="s">
        <v>115</v>
      </c>
      <c r="D2" t="s">
        <v>1</v>
      </c>
      <c r="E2">
        <v>5</v>
      </c>
      <c r="F2">
        <v>0.12</v>
      </c>
      <c r="G2">
        <v>15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78</v>
      </c>
      <c r="F3">
        <v>1</v>
      </c>
      <c r="G3">
        <v>20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70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Program</vt:lpstr>
      <vt:lpstr>Example</vt:lpstr>
      <vt:lpstr>Inbox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2024-03-10T22:53:26Z</dcterms:modified>
</cp:coreProperties>
</file>