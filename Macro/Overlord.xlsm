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5784D05E-9646-4938-BCA4-2F6A12032B85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Example" sheetId="2" r:id="rId2"/>
    <sheet name="Inbox" sheetId="3" r:id="rId3"/>
    <sheet name="Old Setups" sheetId="4" r:id="rId4"/>
  </sheets>
  <definedNames>
    <definedName name="Check">Inbox!$C$5</definedName>
    <definedName name="CO2_Price">Inbox!$G$2</definedName>
    <definedName name="Coal_Capital">Inbox!$M$2</definedName>
    <definedName name="Coal_Fixed">Inbox!$S$2</definedName>
    <definedName name="Coal_Lifetime">Inbox!$AK$2</definedName>
    <definedName name="Coal_Max_PCT">Inbox!$AE$2</definedName>
    <definedName name="Coal_Variable">Inbox!$Y$2</definedName>
    <definedName name="Command">Program!$A$1</definedName>
    <definedName name="Demand">Inbox!$H$2</definedName>
    <definedName name="Directory">Inbox!$B$2</definedName>
    <definedName name="Gas_Capital">Inbox!$L$2</definedName>
    <definedName name="Gas_Fixed">Inbox!$R$2</definedName>
    <definedName name="Gas_Lifetime">Inbox!$AJ$2</definedName>
    <definedName name="Gas_Max_PCT">Inbox!$AD$2</definedName>
    <definedName name="Gas_Variable">Inbox!$X$2</definedName>
    <definedName name="Initial">Program!$B$1</definedName>
    <definedName name="Interest">Inbox!$F$2</definedName>
    <definedName name="Nuclear_Capital">Inbox!$K$2</definedName>
    <definedName name="Nuclear_Fixed">Inbox!$Q$2</definedName>
    <definedName name="Nuclear_Lifetime">Inbox!$AI$2</definedName>
    <definedName name="Nuclear_Max_PCT">Inbox!$AC$2</definedName>
    <definedName name="Nuclear_Variable">Inbox!$W$2</definedName>
    <definedName name="One_Params">Inbox!$G$2:$AL$2</definedName>
    <definedName name="Param_Start">Program!$E$7</definedName>
    <definedName name="Params">Inbox!$C$1:$Y$1</definedName>
    <definedName name="Per_Year">Program!$C$1</definedName>
    <definedName name="Region">Inbox!$D$2</definedName>
    <definedName name="Regions">Program!$J$2:$J$2</definedName>
    <definedName name="Solar_Capital">Inbox!$I$2</definedName>
    <definedName name="Solar_Fixed">Inbox!$O$2</definedName>
    <definedName name="Solar_Lifetime">Inbox!$AG$2</definedName>
    <definedName name="Solar_Max_PCT">Inbox!$AA$2</definedName>
    <definedName name="Solar_Variable">Inbox!$U$2</definedName>
    <definedName name="Storage_Cap">Inbox!$N$2</definedName>
    <definedName name="Storage_Capital">Inbox!$N$2</definedName>
    <definedName name="Storage_Fixed">Inbox!$T$2</definedName>
    <definedName name="Storage_Lifetime">Inbox!$AL$2</definedName>
    <definedName name="Storage_Max_PCT">Inbox!$AF$2</definedName>
    <definedName name="Storage_Variable">Inbox!$Z$2</definedName>
    <definedName name="Title">Inbox!$C$2</definedName>
    <definedName name="Wind_Capital">Inbox!$J$2</definedName>
    <definedName name="Wind_Fixed">Inbox!$P$2</definedName>
    <definedName name="Wind_Lifetime">Inbox!$AH$2</definedName>
    <definedName name="Wind_Max_PCT">Inbox!$AB$2</definedName>
    <definedName name="Wind_Max_Rate">Inbox!$AB$2</definedName>
    <definedName name="Wind_Variable">Inbox!$V$2</definedName>
    <definedName name="Years">Inbox!$E$2</definedName>
    <definedName name="zzzz">Program!$L$4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 a="1"/>
  <c r="C5" i="3" s="1"/>
  <c r="B32" i="2" l="1"/>
  <c r="B33" i="2"/>
  <c r="B34" i="2"/>
  <c r="B35" i="2"/>
  <c r="E25" i="2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B26" i="2"/>
  <c r="B27" i="2"/>
  <c r="B28" i="2"/>
  <c r="B29" i="2"/>
  <c r="B30" i="2"/>
  <c r="B31" i="2"/>
  <c r="B2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<sst xmlns="http://schemas.openxmlformats.org/spreadsheetml/2006/main" count="228" uniqueCount="129">
  <si>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</si>
  <si>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</si>
  <si>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</si>
  <si>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</si>
  <si>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</si>
  <si>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</si>
  <si>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</si>
  <si>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</si>
  <si>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</si>
  <si>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</si>
  <si>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</si>
  <si>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</si>
  <si>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</si>
  <si>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</si>
  <si>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</si>
  <si>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</si>
  <si>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</si>
  <si>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</si>
  <si>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</si>
  <si>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</si>
  <si>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</si>
  <si>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</si>
  <si>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</si>
  <si>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</si>
  <si>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</si>
  <si>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</si>
  <si>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Storage_Fixed</t>
  </si>
  <si>
    <t>Solar_Variable</t>
  </si>
  <si>
    <t>Wind_Variable</t>
  </si>
  <si>
    <t>Nuclear_Variable</t>
  </si>
  <si>
    <t>Gas_Variable</t>
  </si>
  <si>
    <t>Coal_Variable</t>
  </si>
  <si>
    <t>Storage_Variable</t>
  </si>
  <si>
    <t>Clear</t>
  </si>
  <si>
    <t>Region</t>
  </si>
  <si>
    <t>Description:</t>
  </si>
  <si>
    <t>CO2_0</t>
  </si>
  <si>
    <t>Years</t>
  </si>
  <si>
    <t>Initial</t>
  </si>
  <si>
    <t>Per Year</t>
  </si>
  <si>
    <t>Demand</t>
  </si>
  <si>
    <t>% Change</t>
  </si>
  <si>
    <t>Do whole US</t>
  </si>
  <si>
    <t>Increase Demand 1%/year</t>
  </si>
  <si>
    <t>CO2 cost $10/Ton first year, $20/Ton second year, etc.</t>
  </si>
  <si>
    <t>Run scenario named "CO2_0"</t>
  </si>
  <si>
    <t>CO2 is Free</t>
  </si>
  <si>
    <t>N/A</t>
  </si>
  <si>
    <t>Title</t>
  </si>
  <si>
    <t>Number of Years to run</t>
  </si>
  <si>
    <t>Integer</t>
  </si>
  <si>
    <t>Total Electricity Demand</t>
  </si>
  <si>
    <t>Set everything to 0</t>
  </si>
  <si>
    <t>CO2_10per</t>
  </si>
  <si>
    <t>CO2_10_Nuc-5</t>
  </si>
  <si>
    <t>Do next 4 years</t>
  </si>
  <si>
    <t>Run scenario named "CO2_10per"</t>
  </si>
  <si>
    <t>Nuclear Learning Curve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</si>
  <si>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</si>
  <si>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</si>
  <si>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</si>
  <si>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</si>
  <si>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</si>
  <si>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</si>
  <si>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</si>
  <si>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Name</t>
  </si>
  <si>
    <t>Dir below \results\ to put results</t>
  </si>
  <si>
    <t>Analyse</t>
  </si>
  <si>
    <t>Re-analyse without re-run.</t>
  </si>
  <si>
    <t>Clears all to Nominal</t>
  </si>
  <si>
    <t>CO2_Price</t>
  </si>
  <si>
    <t>Check</t>
  </si>
  <si>
    <t>Kill_Dir</t>
  </si>
  <si>
    <t>Test-11-06</t>
  </si>
  <si>
    <t>Full-2023-11-06</t>
  </si>
  <si>
    <t>CO2_00</t>
  </si>
  <si>
    <t>CO2_05</t>
  </si>
  <si>
    <t>CO2_10</t>
  </si>
  <si>
    <t>CO2_20</t>
  </si>
  <si>
    <t>CO2_50</t>
  </si>
  <si>
    <t>Cal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</si>
  <si>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</si>
  <si>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</si>
  <si>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</si>
  <si>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</si>
  <si>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</si>
  <si>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</si>
  <si>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</si>
  <si>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Kill_Mail</t>
  </si>
  <si>
    <t>Remove old results, compare</t>
  </si>
  <si>
    <t>Init $/Ton</t>
  </si>
  <si>
    <t>Added $/Ton</t>
  </si>
  <si>
    <t>Construction Cost</t>
  </si>
  <si>
    <t>Maintenance, etc.</t>
  </si>
  <si>
    <t>Fuel, maintenance</t>
  </si>
  <si>
    <t>Remove old python\outbox</t>
  </si>
  <si>
    <t>_Capital</t>
  </si>
  <si>
    <t>Solar_Lifetime</t>
  </si>
  <si>
    <t>Wind_Lifetime</t>
  </si>
  <si>
    <t>Nuclear_Lifetime</t>
  </si>
  <si>
    <t>Gas_Lifetime</t>
  </si>
  <si>
    <t>Coal_Lifetime</t>
  </si>
  <si>
    <t>Storage_Lifetime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</si>
  <si>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</si>
  <si>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</si>
  <si>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</si>
  <si>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</si>
  <si>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</si>
  <si>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</si>
  <si>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</si>
  <si>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</si>
  <si>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</si>
  <si>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Storage_Capital</t>
  </si>
  <si>
    <t>Solar_Max_PCT</t>
  </si>
  <si>
    <t>Wind_Max_PCT</t>
  </si>
  <si>
    <t>Nuclear_Max_PCT</t>
  </si>
  <si>
    <t>Gas_Max_PCT</t>
  </si>
  <si>
    <t>Coal_Max_PCT</t>
  </si>
  <si>
    <t>Storage_Max_PCT</t>
  </si>
  <si>
    <t>% Initial Change from nominal</t>
  </si>
  <si>
    <t>%Additional Change per year</t>
  </si>
  <si>
    <t>CO2-0-27y-2n</t>
  </si>
  <si>
    <t>CO2-100-27y-2n</t>
  </si>
  <si>
    <t>CO2-200-27y-2n</t>
  </si>
  <si>
    <t>CO2-300-27y-2n</t>
  </si>
  <si>
    <t>CO2-500-27y-2n</t>
  </si>
  <si>
    <t>Cooldown time (sec).</t>
  </si>
  <si>
    <t>Filenames will include Title.  Cooldown executed before run.</t>
  </si>
  <si>
    <t>Full-2024-01-23-2n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</si>
</sst>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0" xfId="0" applyBorder="1"/>
    <xf numFmtId="0" fontId="0" fillId="0" borderId="12" xfId="0" applyBorder="1"/>
    <xf numFmtId="0" fontId="0" fillId="0" borderId="14" xfId="0" applyBorder="1"/>
    <xf numFmtId="0" fontId="0" fillId="0" borderId="9" xfId="0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3" xfId="0" applyFont="1" applyBorder="1"/>
    <xf numFmtId="0" fontId="1" fillId="0" borderId="0" xfId="0" applyFont="1"/>
    <xf numFmtId="0" fontId="1" fillId="0" borderId="18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9" xfId="0" applyFill="1" applyBorder="1" applyProtection="1">
      <protection locked="0"/>
    </xf>
    <xf numFmtId="0" fontId="0" fillId="0" borderId="8" xfId="0" applyBorder="1"/>
    <xf numFmtId="0" fontId="0" fillId="0" borderId="20" xfId="0" applyBorder="1"/>
    <xf numFmtId="0" fontId="0" fillId="0" borderId="21" xfId="0" applyBorder="1"/>
    <xf numFmtId="0" fontId="1" fillId="0" borderId="22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4" xfId="0" applyBorder="1"/>
    <xf numFmtId="0" fontId="0" fillId="0" borderId="20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8" xfId="0" applyBorder="1" applyAlignment="1">
      <alignment vertical="center" wrapText="1"/>
    </xf>
  </cellXfs>
  <cellStyles count="1">
    <cellStyle name="Normal" xfId="0" builtinId="0"/>
  </cellStyles>
  <dxfs count="4"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Example!$E$24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Example!$E$25:$E$35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Example!$B$24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Example!$B$25:$B$35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304799</xdr:colOff>
      <xdr:row>1</xdr:row>
      <xdr:rowOff>2279</xdr:rowOff>
    </xdr:from>
    <xdr:to>
      <xdr:col>3</xdr:col>
      <xdr:colOff>1008887</xdr:colOff>
      <xdr:row>4</xdr:row>
      <xdr:rowOff>148328</xdr:rowOff>
    </xdr:to>
    <xdr:sp macro="[0]!Overru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39142" y="195500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14</xdr:row>
      <xdr:rowOff>92075</xdr:rowOff>
    </xdr:from>
    <xdr:to>
      <xdr:col>6</xdr:col>
      <xdr:colOff>527050</xdr:colOff>
      <xdr:row>20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14</xdr:row>
      <xdr:rowOff>92075</xdr:rowOff>
    </xdr:from>
    <xdr:to>
      <xdr:col>2</xdr:col>
      <xdr:colOff>574676</xdr:colOff>
      <xdr:row>20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78"/>
  <sheetViews>
    <sheetView tabSelected="1" workbookViewId="0">
      <pane ySplit="1" topLeftCell="A2" activePane="bottomLeft" state="frozen"/>
      <selection activeCell="B1" sqref="B1"/>
      <selection pane="bottomLeft" activeCell="B8" sqref="B8"/>
    </sheetView>
  </sheetViews>
  <sheetFormatPr defaultRowHeight="14.6" x14ac:dyDescent="0.85"/>
  <cols>
    <col min="1" max="1" width="14.19140625" style="20" customWidth="1"/>
    <col min="2" max="2" width="16.9609375" style="20" customWidth="1"/>
    <col min="3" max="3" width="7.69140625" style="20" bestFit="1" customWidth="1"/>
    <col min="4" max="4" width="17.8828125" customWidth="1"/>
    <col min="5" max="5" width="14.69140625" bestFit="1" customWidth="1"/>
    <col min="6" max="6" width="12.9609375" bestFit="1" customWidth="1"/>
    <col min="7" max="7" width="12.9609375" customWidth="1"/>
    <col min="8" max="8" width="28.4609375" bestFit="1" customWidth="1"/>
    <col min="9" max="9" width="3.34375" customWidth="1"/>
    <col min="11" max="11" width="3.9609375" customWidth="1"/>
  </cols>
  <sheetData>
    <row r="1" spans="1:11" ht="15.4" thickBot="1" x14ac:dyDescent="1">
      <c r="A1" s="11" t="s">
        <v>15</v>
      </c>
      <c r="B1" s="12" t="s">
        <v>38</v>
      </c>
      <c r="C1" s="13" t="s">
        <v>39</v>
      </c>
      <c r="E1" s="17" t="s">
        <v>18</v>
      </c>
      <c r="F1" s="18" t="s">
        <v>38</v>
      </c>
      <c r="G1" s="37" t="s">
        <v>39</v>
      </c>
      <c r="H1" s="19" t="s">
        <v>35</v>
      </c>
      <c r="I1" s="16"/>
      <c r="J1" s="14" t="s">
        <v>0</v>
      </c>
      <c r="K1" s="15"/>
    </row>
    <row r="2" spans="1:11" ht="14.65" x14ac:dyDescent="0.85">
      <c r="A2" s="21" t="s">
        <v>33</v>
      </c>
      <c r="B2" s="22"/>
      <c r="C2" s="23"/>
      <c r="E2" s="4" t="s">
        <v>33</v>
      </c>
      <c r="F2" s="5" t="s">
        <v>47</v>
      </c>
      <c r="G2" s="5" t="s">
        <v>47</v>
      </c>
      <c r="H2" s="6" t="s">
        <v>69</v>
      </c>
      <c r="J2" s="9" t="s">
        <v>1</v>
      </c>
    </row>
    <row r="3" spans="1:11" x14ac:dyDescent="0.85">
      <c r="A3" s="24" t="s">
        <v>34</v>
      </c>
      <c r="B3" s="25" t="s">
        <v>1</v>
      </c>
      <c r="C3" s="26"/>
      <c r="E3" s="48" t="s">
        <v>16</v>
      </c>
      <c r="F3" s="50" t="s">
        <v>48</v>
      </c>
      <c r="G3" s="50" t="s">
        <v>126</v>
      </c>
      <c r="H3" s="52" t="s">
        <v>127</v>
      </c>
      <c r="J3" s="9" t="s">
        <v>2</v>
      </c>
    </row>
    <row r="4" spans="1:11" x14ac:dyDescent="0.85">
      <c r="A4" s="27" t="s">
        <v>37</v>
      </c>
      <c r="B4" s="25">
        <v>27</v>
      </c>
      <c r="C4" s="26"/>
      <c r="E4" s="49"/>
      <c r="F4" s="51"/>
      <c r="G4" s="51"/>
      <c r="H4" s="53"/>
      <c r="J4" s="9" t="s">
        <v>3</v>
      </c>
    </row>
    <row r="5" spans="1:11" ht="14.65" x14ac:dyDescent="0.85">
      <c r="A5" s="27" t="s">
        <v>40</v>
      </c>
      <c r="B5" s="25">
        <v>0.02</v>
      </c>
      <c r="C5" s="26">
        <v>0</v>
      </c>
      <c r="E5" s="4" t="s">
        <v>67</v>
      </c>
      <c r="F5" s="5" t="s">
        <v>48</v>
      </c>
      <c r="G5" s="5" t="s">
        <v>47</v>
      </c>
      <c r="H5" s="6" t="s">
        <v>68</v>
      </c>
      <c r="J5" s="9" t="s">
        <v>4</v>
      </c>
    </row>
    <row r="6" spans="1:11" ht="14.65" x14ac:dyDescent="0.85">
      <c r="A6" s="33" t="s">
        <v>64</v>
      </c>
      <c r="B6" s="25" t="s">
        <v>128</v>
      </c>
      <c r="C6" s="26"/>
      <c r="E6" s="4" t="s">
        <v>19</v>
      </c>
      <c r="F6" s="5" t="s">
        <v>47</v>
      </c>
      <c r="G6" s="5" t="s">
        <v>47</v>
      </c>
      <c r="H6" s="6" t="s">
        <v>20</v>
      </c>
      <c r="J6" s="9" t="s">
        <v>5</v>
      </c>
    </row>
    <row r="7" spans="1:11" ht="14.65" x14ac:dyDescent="0.85">
      <c r="A7" s="33" t="s">
        <v>72</v>
      </c>
      <c r="B7" s="25"/>
      <c r="C7" s="26"/>
      <c r="E7" s="4" t="s">
        <v>37</v>
      </c>
      <c r="F7" s="5" t="s">
        <v>50</v>
      </c>
      <c r="G7" s="5" t="s">
        <v>47</v>
      </c>
      <c r="H7" s="6" t="s">
        <v>49</v>
      </c>
      <c r="J7" s="9" t="s">
        <v>6</v>
      </c>
    </row>
    <row r="8" spans="1:11" ht="14.65" x14ac:dyDescent="0.85">
      <c r="A8" s="33" t="s">
        <v>88</v>
      </c>
      <c r="B8" s="25"/>
      <c r="C8" s="26"/>
      <c r="E8" s="4" t="s">
        <v>64</v>
      </c>
      <c r="F8" s="5" t="s">
        <v>65</v>
      </c>
      <c r="G8" s="5" t="s">
        <v>47</v>
      </c>
      <c r="H8" s="6" t="s">
        <v>66</v>
      </c>
      <c r="J8" s="9" t="s">
        <v>7</v>
      </c>
    </row>
    <row r="9" spans="1:11" ht="14.65" x14ac:dyDescent="0.85">
      <c r="A9" s="33" t="s">
        <v>109</v>
      </c>
      <c r="B9" s="25">
        <v>-0.02</v>
      </c>
      <c r="C9" s="26">
        <v>0</v>
      </c>
      <c r="E9" s="4" t="s">
        <v>70</v>
      </c>
      <c r="F9" s="5" t="s">
        <v>90</v>
      </c>
      <c r="G9" s="7" t="s">
        <v>91</v>
      </c>
      <c r="H9" s="6"/>
      <c r="J9" s="9" t="s">
        <v>8</v>
      </c>
    </row>
    <row r="10" spans="1:11" ht="14.65" x14ac:dyDescent="0.85">
      <c r="A10" s="24" t="s">
        <v>70</v>
      </c>
      <c r="B10" s="25">
        <v>0</v>
      </c>
      <c r="C10" s="26">
        <v>0</v>
      </c>
      <c r="E10" s="4" t="s">
        <v>40</v>
      </c>
      <c r="F10" s="5" t="s">
        <v>41</v>
      </c>
      <c r="G10" s="5" t="s">
        <v>47</v>
      </c>
      <c r="H10" s="6" t="s">
        <v>51</v>
      </c>
      <c r="J10" s="9" t="s">
        <v>9</v>
      </c>
    </row>
    <row r="11" spans="1:11" ht="14.65" x14ac:dyDescent="0.85">
      <c r="A11" s="27" t="s">
        <v>67</v>
      </c>
      <c r="B11" s="25" t="s">
        <v>121</v>
      </c>
      <c r="C11" s="26">
        <v>0</v>
      </c>
      <c r="E11" s="4" t="s">
        <v>81</v>
      </c>
      <c r="F11" s="5" t="s">
        <v>82</v>
      </c>
      <c r="G11" s="5" t="s">
        <v>47</v>
      </c>
      <c r="H11" s="6" t="s">
        <v>86</v>
      </c>
      <c r="J11" s="9" t="s">
        <v>10</v>
      </c>
    </row>
    <row r="12" spans="1:11" ht="14.65" x14ac:dyDescent="0.85">
      <c r="A12" s="24" t="s">
        <v>70</v>
      </c>
      <c r="B12" s="25">
        <v>100</v>
      </c>
      <c r="C12" s="26">
        <v>0</v>
      </c>
      <c r="E12" s="35" t="s">
        <v>72</v>
      </c>
      <c r="F12" s="5" t="s">
        <v>47</v>
      </c>
      <c r="G12" s="5" t="s">
        <v>47</v>
      </c>
      <c r="H12" s="36" t="s">
        <v>89</v>
      </c>
      <c r="J12" s="9" t="s">
        <v>11</v>
      </c>
    </row>
    <row r="13" spans="1:11" ht="15.3" thickBot="1" x14ac:dyDescent="1">
      <c r="A13" s="27" t="s">
        <v>67</v>
      </c>
      <c r="B13" s="25" t="s">
        <v>122</v>
      </c>
      <c r="C13" s="26">
        <v>20</v>
      </c>
      <c r="E13" s="35" t="s">
        <v>88</v>
      </c>
      <c r="F13" s="5" t="s">
        <v>47</v>
      </c>
      <c r="G13" s="5" t="s">
        <v>47</v>
      </c>
      <c r="H13" s="36" t="s">
        <v>95</v>
      </c>
      <c r="J13" s="9" t="s">
        <v>12</v>
      </c>
    </row>
    <row r="14" spans="1:11" ht="15.3" thickBot="1" x14ac:dyDescent="1">
      <c r="A14" s="24" t="s">
        <v>70</v>
      </c>
      <c r="B14" s="25">
        <v>200</v>
      </c>
      <c r="C14" s="26">
        <v>0</v>
      </c>
      <c r="E14" s="41" t="s">
        <v>85</v>
      </c>
      <c r="F14" s="42"/>
      <c r="G14" s="43"/>
      <c r="H14" s="44"/>
      <c r="J14" s="9" t="s">
        <v>13</v>
      </c>
    </row>
    <row r="15" spans="1:11" ht="15.25" thickBot="1" x14ac:dyDescent="1">
      <c r="A15" s="27" t="s">
        <v>67</v>
      </c>
      <c r="B15" s="25" t="s">
        <v>123</v>
      </c>
      <c r="C15" s="26">
        <v>20</v>
      </c>
      <c r="E15" s="38" t="s">
        <v>96</v>
      </c>
      <c r="F15" s="45" t="s">
        <v>119</v>
      </c>
      <c r="G15" s="45" t="s">
        <v>120</v>
      </c>
      <c r="H15" s="39" t="s">
        <v>92</v>
      </c>
      <c r="J15" s="10" t="s">
        <v>14</v>
      </c>
    </row>
    <row r="16" spans="1:11" x14ac:dyDescent="0.85">
      <c r="A16" s="24" t="s">
        <v>70</v>
      </c>
      <c r="B16" s="25">
        <v>300</v>
      </c>
      <c r="C16" s="26">
        <v>0</v>
      </c>
      <c r="E16" s="4" t="s">
        <v>83</v>
      </c>
      <c r="F16" s="46"/>
      <c r="G16" s="46"/>
      <c r="H16" s="6" t="s">
        <v>93</v>
      </c>
      <c r="J16" s="8"/>
    </row>
    <row r="17" spans="1:8" x14ac:dyDescent="0.85">
      <c r="A17" s="27" t="s">
        <v>67</v>
      </c>
      <c r="B17" s="25" t="s">
        <v>124</v>
      </c>
      <c r="C17" s="26">
        <v>20</v>
      </c>
      <c r="E17" s="4" t="s">
        <v>84</v>
      </c>
      <c r="F17" s="46"/>
      <c r="G17" s="46"/>
      <c r="H17" s="6" t="s">
        <v>94</v>
      </c>
    </row>
    <row r="18" spans="1:8" x14ac:dyDescent="0.85">
      <c r="A18" s="24" t="s">
        <v>70</v>
      </c>
      <c r="B18" s="25">
        <v>500</v>
      </c>
      <c r="C18" s="26">
        <v>0</v>
      </c>
      <c r="E18" s="4" t="s">
        <v>103</v>
      </c>
      <c r="F18" s="46"/>
      <c r="G18" s="46"/>
      <c r="H18" s="6" t="s">
        <v>104</v>
      </c>
    </row>
    <row r="19" spans="1:8" ht="15.25" thickBot="1" x14ac:dyDescent="1">
      <c r="A19" s="27" t="s">
        <v>67</v>
      </c>
      <c r="B19" s="25" t="s">
        <v>125</v>
      </c>
      <c r="C19" s="26">
        <v>20</v>
      </c>
      <c r="E19" s="40" t="s">
        <v>106</v>
      </c>
      <c r="F19" s="47"/>
      <c r="G19" s="47"/>
      <c r="H19" s="34" t="s">
        <v>105</v>
      </c>
    </row>
    <row r="20" spans="1:8" ht="14.65" x14ac:dyDescent="0.85">
      <c r="A20" s="24"/>
      <c r="B20" s="25"/>
      <c r="C20" s="26"/>
    </row>
    <row r="21" spans="1:8" ht="14.65" x14ac:dyDescent="0.85">
      <c r="A21" s="24"/>
      <c r="B21" s="25"/>
      <c r="C21" s="26"/>
    </row>
    <row r="22" spans="1:8" ht="14.65" x14ac:dyDescent="0.85">
      <c r="A22" s="24"/>
      <c r="B22" s="25"/>
      <c r="C22" s="26"/>
    </row>
    <row r="23" spans="1:8" ht="14.65" x14ac:dyDescent="0.85">
      <c r="A23" s="24"/>
      <c r="B23" s="25"/>
      <c r="C23" s="26"/>
    </row>
    <row r="24" spans="1:8" ht="14.65" x14ac:dyDescent="0.85">
      <c r="A24" s="24"/>
      <c r="B24" s="25"/>
      <c r="C24" s="26"/>
    </row>
    <row r="25" spans="1:8" ht="14.65" x14ac:dyDescent="0.85">
      <c r="A25" s="24"/>
      <c r="B25" s="25"/>
      <c r="C25" s="26"/>
    </row>
    <row r="26" spans="1:8" x14ac:dyDescent="0.85">
      <c r="A26" s="24"/>
      <c r="B26" s="25"/>
      <c r="C26" s="26"/>
    </row>
    <row r="27" spans="1:8" x14ac:dyDescent="0.85">
      <c r="A27" s="24"/>
      <c r="B27" s="25"/>
      <c r="C27" s="26"/>
    </row>
    <row r="28" spans="1:8" x14ac:dyDescent="0.85">
      <c r="A28" s="24"/>
      <c r="B28" s="25"/>
      <c r="C28" s="26"/>
    </row>
    <row r="29" spans="1:8" x14ac:dyDescent="0.85">
      <c r="A29" s="24"/>
      <c r="B29" s="25"/>
      <c r="C29" s="26"/>
    </row>
    <row r="30" spans="1:8" x14ac:dyDescent="0.85">
      <c r="A30" s="24"/>
      <c r="B30" s="25"/>
      <c r="C30" s="26"/>
    </row>
    <row r="31" spans="1:8" x14ac:dyDescent="0.85">
      <c r="A31" s="24"/>
      <c r="B31" s="25"/>
      <c r="C31" s="26"/>
    </row>
    <row r="32" spans="1:8" x14ac:dyDescent="0.85">
      <c r="A32" s="24"/>
      <c r="B32" s="25"/>
      <c r="C32" s="26"/>
    </row>
    <row r="33" spans="1:3" x14ac:dyDescent="0.85">
      <c r="A33" s="24"/>
      <c r="B33" s="25"/>
      <c r="C33" s="26"/>
    </row>
    <row r="34" spans="1:3" x14ac:dyDescent="0.85">
      <c r="A34" s="24"/>
      <c r="B34" s="25"/>
      <c r="C34" s="26"/>
    </row>
    <row r="35" spans="1:3" x14ac:dyDescent="0.85">
      <c r="A35" s="24"/>
      <c r="B35" s="25"/>
      <c r="C35" s="26"/>
    </row>
    <row r="36" spans="1:3" x14ac:dyDescent="0.85">
      <c r="A36" s="24"/>
      <c r="B36" s="25"/>
      <c r="C36" s="26"/>
    </row>
    <row r="37" spans="1:3" x14ac:dyDescent="0.85">
      <c r="A37" s="24"/>
      <c r="B37" s="25"/>
      <c r="C37" s="26"/>
    </row>
    <row r="38" spans="1:3" x14ac:dyDescent="0.85">
      <c r="A38" s="24"/>
      <c r="B38" s="25"/>
      <c r="C38" s="26"/>
    </row>
    <row r="39" spans="1:3" x14ac:dyDescent="0.85">
      <c r="A39" s="24"/>
      <c r="B39" s="25"/>
      <c r="C39" s="26"/>
    </row>
    <row r="40" spans="1:3" x14ac:dyDescent="0.85">
      <c r="A40" s="24"/>
      <c r="B40" s="25"/>
      <c r="C40" s="26"/>
    </row>
    <row r="41" spans="1:3" x14ac:dyDescent="0.85">
      <c r="A41" s="24"/>
      <c r="B41" s="25"/>
      <c r="C41" s="26"/>
    </row>
    <row r="42" spans="1:3" x14ac:dyDescent="0.85">
      <c r="A42" s="24"/>
      <c r="B42" s="25"/>
      <c r="C42" s="26"/>
    </row>
    <row r="43" spans="1:3" x14ac:dyDescent="0.85">
      <c r="A43" s="24"/>
      <c r="B43" s="25"/>
      <c r="C43" s="26"/>
    </row>
    <row r="44" spans="1:3" x14ac:dyDescent="0.85">
      <c r="A44" s="24"/>
      <c r="B44" s="25"/>
      <c r="C44" s="26"/>
    </row>
    <row r="45" spans="1:3" x14ac:dyDescent="0.85">
      <c r="A45" s="24"/>
      <c r="B45" s="25"/>
      <c r="C45" s="26"/>
    </row>
    <row r="46" spans="1:3" x14ac:dyDescent="0.85">
      <c r="A46" s="24"/>
      <c r="B46" s="25"/>
      <c r="C46" s="26"/>
    </row>
    <row r="47" spans="1:3" x14ac:dyDescent="0.85">
      <c r="A47" s="24"/>
      <c r="B47" s="25"/>
      <c r="C47" s="26"/>
    </row>
    <row r="48" spans="1:3" x14ac:dyDescent="0.85">
      <c r="A48" s="24"/>
      <c r="B48" s="25"/>
      <c r="C48" s="26"/>
    </row>
    <row r="49" spans="1:3" x14ac:dyDescent="0.85">
      <c r="A49" s="24"/>
      <c r="B49" s="25"/>
      <c r="C49" s="26"/>
    </row>
    <row r="50" spans="1:3" x14ac:dyDescent="0.85">
      <c r="A50" s="24"/>
      <c r="B50" s="25"/>
      <c r="C50" s="26"/>
    </row>
    <row r="51" spans="1:3" x14ac:dyDescent="0.85">
      <c r="A51" s="24"/>
      <c r="B51" s="25"/>
      <c r="C51" s="26"/>
    </row>
    <row r="52" spans="1:3" x14ac:dyDescent="0.85">
      <c r="A52" s="24"/>
      <c r="B52" s="25"/>
      <c r="C52" s="26"/>
    </row>
    <row r="53" spans="1:3" x14ac:dyDescent="0.85">
      <c r="A53" s="24"/>
      <c r="B53" s="25"/>
      <c r="C53" s="26"/>
    </row>
    <row r="54" spans="1:3" x14ac:dyDescent="0.85">
      <c r="A54" s="24"/>
      <c r="B54" s="25"/>
      <c r="C54" s="26"/>
    </row>
    <row r="55" spans="1:3" x14ac:dyDescent="0.85">
      <c r="A55" s="24"/>
      <c r="B55" s="25"/>
      <c r="C55" s="26"/>
    </row>
    <row r="56" spans="1:3" x14ac:dyDescent="0.85">
      <c r="A56" s="24"/>
      <c r="B56" s="25"/>
      <c r="C56" s="26"/>
    </row>
    <row r="57" spans="1:3" x14ac:dyDescent="0.85">
      <c r="A57" s="24"/>
      <c r="B57" s="25"/>
      <c r="C57" s="26"/>
    </row>
    <row r="58" spans="1:3" x14ac:dyDescent="0.85">
      <c r="A58" s="24"/>
      <c r="B58" s="25"/>
      <c r="C58" s="26"/>
    </row>
    <row r="59" spans="1:3" x14ac:dyDescent="0.85">
      <c r="A59" s="24"/>
      <c r="B59" s="25"/>
      <c r="C59" s="26"/>
    </row>
    <row r="60" spans="1:3" x14ac:dyDescent="0.85">
      <c r="A60" s="24"/>
      <c r="B60" s="25"/>
      <c r="C60" s="26"/>
    </row>
    <row r="61" spans="1:3" x14ac:dyDescent="0.85">
      <c r="A61" s="24"/>
      <c r="B61" s="25"/>
      <c r="C61" s="26"/>
    </row>
    <row r="62" spans="1:3" x14ac:dyDescent="0.85">
      <c r="A62" s="24"/>
      <c r="B62" s="25"/>
      <c r="C62" s="26"/>
    </row>
    <row r="63" spans="1:3" x14ac:dyDescent="0.85">
      <c r="A63" s="24"/>
      <c r="B63" s="25"/>
      <c r="C63" s="26"/>
    </row>
    <row r="64" spans="1:3" x14ac:dyDescent="0.85">
      <c r="A64" s="24"/>
      <c r="B64" s="25"/>
      <c r="C64" s="26"/>
    </row>
    <row r="65" spans="1:3" x14ac:dyDescent="0.85">
      <c r="A65" s="24"/>
      <c r="B65" s="25"/>
      <c r="C65" s="26"/>
    </row>
    <row r="66" spans="1:3" x14ac:dyDescent="0.85">
      <c r="A66" s="24"/>
      <c r="B66" s="25"/>
      <c r="C66" s="26"/>
    </row>
    <row r="67" spans="1:3" x14ac:dyDescent="0.85">
      <c r="A67" s="24"/>
      <c r="B67" s="25"/>
      <c r="C67" s="26"/>
    </row>
    <row r="68" spans="1:3" x14ac:dyDescent="0.85">
      <c r="A68" s="24"/>
      <c r="B68" s="25"/>
      <c r="C68" s="26"/>
    </row>
    <row r="69" spans="1:3" x14ac:dyDescent="0.85">
      <c r="A69" s="24"/>
      <c r="B69" s="25"/>
      <c r="C69" s="26"/>
    </row>
    <row r="70" spans="1:3" x14ac:dyDescent="0.85">
      <c r="A70" s="24"/>
      <c r="B70" s="25"/>
      <c r="C70" s="26"/>
    </row>
    <row r="71" spans="1:3" x14ac:dyDescent="0.85">
      <c r="A71" s="24"/>
      <c r="B71" s="25"/>
      <c r="C71" s="26"/>
    </row>
    <row r="72" spans="1:3" x14ac:dyDescent="0.85">
      <c r="A72" s="24"/>
      <c r="B72" s="25"/>
      <c r="C72" s="26"/>
    </row>
    <row r="73" spans="1:3" x14ac:dyDescent="0.85">
      <c r="A73" s="24"/>
      <c r="B73" s="25"/>
      <c r="C73" s="26"/>
    </row>
    <row r="74" spans="1:3" x14ac:dyDescent="0.85">
      <c r="A74" s="24"/>
      <c r="B74" s="25"/>
      <c r="C74" s="26"/>
    </row>
    <row r="75" spans="1:3" x14ac:dyDescent="0.85">
      <c r="A75" s="24"/>
      <c r="B75" s="25"/>
      <c r="C75" s="26"/>
    </row>
    <row r="76" spans="1:3" x14ac:dyDescent="0.85">
      <c r="A76" s="24"/>
      <c r="B76" s="25"/>
      <c r="C76" s="26"/>
    </row>
    <row r="77" spans="1:3" x14ac:dyDescent="0.85">
      <c r="A77" s="24"/>
      <c r="B77" s="25"/>
      <c r="C77" s="26"/>
    </row>
    <row r="78" spans="1:3" ht="15.25" thickBot="1" x14ac:dyDescent="1">
      <c r="A78" s="28"/>
      <c r="B78" s="29"/>
      <c r="C78" s="30"/>
    </row>
  </sheetData>
  <mergeCells count="7">
    <mergeCell ref="E14:H14"/>
    <mergeCell ref="F15:F19"/>
    <mergeCell ref="G15:G19"/>
    <mergeCell ref="E3:E4"/>
    <mergeCell ref="F3:F4"/>
    <mergeCell ref="G3:G4"/>
    <mergeCell ref="H3:H4"/>
  </mergeCells>
  <conditionalFormatting sqref="B2:C78">
    <cfRule type="expression" dxfId="3" priority="1">
      <formula>AND($A2&lt;&gt;"Years", $A2&lt;&gt;"Run",$A2&lt;&gt;"CO2_Price")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6"/>
  <sheetViews>
    <sheetView workbookViewId="0">
      <selection activeCell="H22" sqref="H2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11" t="s">
        <v>15</v>
      </c>
      <c r="B1" s="12" t="s">
        <v>38</v>
      </c>
      <c r="C1" s="13" t="s">
        <v>39</v>
      </c>
    </row>
    <row r="2" spans="1:5" ht="14.65" x14ac:dyDescent="0.85">
      <c r="A2" s="1" t="s">
        <v>33</v>
      </c>
      <c r="B2" s="2"/>
      <c r="C2" s="3"/>
      <c r="D2" t="s">
        <v>52</v>
      </c>
    </row>
    <row r="3" spans="1:5" ht="14.65" x14ac:dyDescent="0.85">
      <c r="A3" s="4" t="s">
        <v>34</v>
      </c>
      <c r="B3" s="7" t="s">
        <v>1</v>
      </c>
      <c r="C3" s="6"/>
      <c r="D3" t="s">
        <v>42</v>
      </c>
    </row>
    <row r="4" spans="1:5" ht="14.65" x14ac:dyDescent="0.85">
      <c r="A4" s="5" t="s">
        <v>40</v>
      </c>
      <c r="B4" s="7">
        <v>0.01</v>
      </c>
      <c r="C4" s="6">
        <v>0.01</v>
      </c>
      <c r="D4" t="s">
        <v>43</v>
      </c>
    </row>
    <row r="5" spans="1:5" ht="14.65" x14ac:dyDescent="0.85">
      <c r="A5" s="5" t="s">
        <v>17</v>
      </c>
      <c r="B5" s="7">
        <v>0</v>
      </c>
      <c r="C5" s="6">
        <v>0</v>
      </c>
      <c r="D5" t="s">
        <v>46</v>
      </c>
    </row>
    <row r="6" spans="1:5" ht="14.65" x14ac:dyDescent="0.85">
      <c r="A6" s="5" t="s">
        <v>37</v>
      </c>
      <c r="B6" s="7">
        <v>4</v>
      </c>
      <c r="C6" s="6"/>
      <c r="D6" t="s">
        <v>55</v>
      </c>
    </row>
    <row r="7" spans="1:5" ht="14.65" x14ac:dyDescent="0.85">
      <c r="A7" s="4" t="s">
        <v>16</v>
      </c>
      <c r="B7" s="7" t="s">
        <v>36</v>
      </c>
      <c r="C7" s="6"/>
      <c r="D7" t="s">
        <v>45</v>
      </c>
    </row>
    <row r="8" spans="1:5" ht="14.65" x14ac:dyDescent="0.85">
      <c r="A8" s="5" t="s">
        <v>17</v>
      </c>
      <c r="B8" s="7">
        <v>10</v>
      </c>
      <c r="C8" s="6">
        <v>10</v>
      </c>
      <c r="D8" t="s">
        <v>44</v>
      </c>
    </row>
    <row r="9" spans="1:5" ht="14.65" x14ac:dyDescent="0.85">
      <c r="A9" s="4" t="s">
        <v>16</v>
      </c>
      <c r="B9" s="7" t="s">
        <v>53</v>
      </c>
      <c r="C9" s="6"/>
      <c r="D9" t="s">
        <v>56</v>
      </c>
    </row>
    <row r="10" spans="1:5" ht="14.65" x14ac:dyDescent="0.85">
      <c r="A10" s="5" t="s">
        <v>23</v>
      </c>
      <c r="B10" s="7">
        <v>0</v>
      </c>
      <c r="C10" s="6">
        <v>-0.05</v>
      </c>
      <c r="D10" t="s">
        <v>57</v>
      </c>
    </row>
    <row r="11" spans="1:5" ht="14.65" x14ac:dyDescent="0.85">
      <c r="A11" s="4" t="s">
        <v>16</v>
      </c>
      <c r="B11" s="7" t="s">
        <v>54</v>
      </c>
      <c r="C11" s="6"/>
      <c r="D11" t="s">
        <v>58</v>
      </c>
    </row>
    <row r="12" spans="1:5" ht="14.65" x14ac:dyDescent="0.85">
      <c r="A12" s="4"/>
      <c r="B12" s="7"/>
      <c r="C12" s="6"/>
      <c r="D12" t="s">
        <v>59</v>
      </c>
    </row>
    <row r="14" spans="1:5" ht="14.65" x14ac:dyDescent="0.85">
      <c r="B14" t="s">
        <v>17</v>
      </c>
      <c r="E14" t="s">
        <v>60</v>
      </c>
    </row>
    <row r="21" spans="1:6" ht="15.25" thickBot="1" x14ac:dyDescent="1"/>
    <row r="22" spans="1:6" ht="15.25" thickBot="1" x14ac:dyDescent="1">
      <c r="B22" s="12" t="s">
        <v>38</v>
      </c>
      <c r="C22" s="13" t="s">
        <v>39</v>
      </c>
      <c r="E22" s="12" t="s">
        <v>38</v>
      </c>
      <c r="F22" s="13" t="s">
        <v>39</v>
      </c>
    </row>
    <row r="23" spans="1:6" x14ac:dyDescent="0.85">
      <c r="B23">
        <v>5</v>
      </c>
      <c r="C23">
        <v>20</v>
      </c>
      <c r="E23" s="31">
        <v>0.05</v>
      </c>
      <c r="F23" s="31">
        <v>0.2</v>
      </c>
    </row>
    <row r="24" spans="1:6" x14ac:dyDescent="0.85">
      <c r="A24" t="s">
        <v>61</v>
      </c>
      <c r="B24" t="s">
        <v>63</v>
      </c>
      <c r="E24" t="s">
        <v>62</v>
      </c>
    </row>
    <row r="25" spans="1:6" x14ac:dyDescent="0.85">
      <c r="A25">
        <v>0</v>
      </c>
      <c r="B25">
        <f>$B$23+(A25*$C$23)</f>
        <v>5</v>
      </c>
      <c r="E25" s="32">
        <f>1+$E$23</f>
        <v>1.05</v>
      </c>
      <c r="F25" s="32"/>
    </row>
    <row r="26" spans="1:6" x14ac:dyDescent="0.85">
      <c r="A26">
        <v>1</v>
      </c>
      <c r="B26">
        <f t="shared" ref="B26:B35" si="0">$B$23+(A26*$C$23)</f>
        <v>25</v>
      </c>
      <c r="E26" s="32">
        <f>E25*(1+$F$23)</f>
        <v>1.26</v>
      </c>
      <c r="F26" s="32"/>
    </row>
    <row r="27" spans="1:6" x14ac:dyDescent="0.85">
      <c r="A27">
        <v>2</v>
      </c>
      <c r="B27">
        <f t="shared" si="0"/>
        <v>45</v>
      </c>
      <c r="E27" s="32">
        <f t="shared" ref="E27:E35" si="1">E26*(1+$F$23)</f>
        <v>1.512</v>
      </c>
      <c r="F27" s="32"/>
    </row>
    <row r="28" spans="1:6" x14ac:dyDescent="0.85">
      <c r="A28">
        <v>3</v>
      </c>
      <c r="B28">
        <f t="shared" si="0"/>
        <v>65</v>
      </c>
      <c r="E28" s="32">
        <f t="shared" si="1"/>
        <v>1.8144</v>
      </c>
      <c r="F28" s="32"/>
    </row>
    <row r="29" spans="1:6" x14ac:dyDescent="0.85">
      <c r="A29">
        <v>4</v>
      </c>
      <c r="B29">
        <f t="shared" si="0"/>
        <v>85</v>
      </c>
      <c r="E29" s="32">
        <f t="shared" si="1"/>
        <v>2.1772800000000001</v>
      </c>
      <c r="F29" s="32"/>
    </row>
    <row r="30" spans="1:6" x14ac:dyDescent="0.85">
      <c r="A30">
        <v>5</v>
      </c>
      <c r="B30">
        <f t="shared" si="0"/>
        <v>105</v>
      </c>
      <c r="E30" s="32">
        <f t="shared" si="1"/>
        <v>2.6127359999999999</v>
      </c>
      <c r="F30" s="32"/>
    </row>
    <row r="31" spans="1:6" x14ac:dyDescent="0.85">
      <c r="A31">
        <v>6</v>
      </c>
      <c r="B31">
        <f t="shared" si="0"/>
        <v>125</v>
      </c>
      <c r="E31" s="32">
        <f t="shared" si="1"/>
        <v>3.1352831999999999</v>
      </c>
      <c r="F31" s="32"/>
    </row>
    <row r="32" spans="1:6" x14ac:dyDescent="0.85">
      <c r="A32">
        <v>7</v>
      </c>
      <c r="B32">
        <f t="shared" si="0"/>
        <v>145</v>
      </c>
      <c r="E32" s="32">
        <f t="shared" si="1"/>
        <v>3.7623398399999997</v>
      </c>
      <c r="F32" s="32"/>
    </row>
    <row r="33" spans="1:5" x14ac:dyDescent="0.85">
      <c r="A33">
        <v>8</v>
      </c>
      <c r="B33">
        <f t="shared" si="0"/>
        <v>165</v>
      </c>
      <c r="E33" s="32">
        <f t="shared" si="1"/>
        <v>4.5148078079999996</v>
      </c>
    </row>
    <row r="34" spans="1:5" x14ac:dyDescent="0.85">
      <c r="A34">
        <v>9</v>
      </c>
      <c r="B34">
        <f t="shared" si="0"/>
        <v>185</v>
      </c>
      <c r="E34" s="32">
        <f t="shared" si="1"/>
        <v>5.4177693695999993</v>
      </c>
    </row>
    <row r="35" spans="1:5" x14ac:dyDescent="0.85">
      <c r="A35">
        <v>10</v>
      </c>
      <c r="B35">
        <f t="shared" si="0"/>
        <v>205</v>
      </c>
      <c r="E35" s="32">
        <f t="shared" si="1"/>
        <v>6.501323243519999</v>
      </c>
    </row>
    <row r="36" spans="1:5" x14ac:dyDescent="0.85">
      <c r="E36" s="32"/>
    </row>
  </sheetData>
  <conditionalFormatting sqref="B2:C12">
    <cfRule type="expression" dxfId="2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AL5"/>
  <sheetViews>
    <sheetView workbookViewId="0">
      <selection activeCell="F2" sqref="F2"/>
    </sheetView>
  </sheetViews>
  <sheetFormatPr defaultRowHeight="14.6" x14ac:dyDescent="0.85"/>
  <cols>
    <col min="2" max="2" width="12.5" customWidth="1"/>
    <col min="3" max="3" width="10.5" customWidth="1"/>
    <col min="4" max="4" width="8.57421875" bestFit="1" customWidth="1"/>
    <col min="5" max="7" width="8.57421875" customWidth="1"/>
    <col min="8" max="8" width="7.53515625" bestFit="1" customWidth="1"/>
    <col min="9" max="9" width="10.265625" bestFit="1" customWidth="1"/>
    <col min="10" max="10" width="12.23046875" bestFit="1" customWidth="1"/>
    <col min="11" max="11" width="8.9609375" bestFit="1" customWidth="1"/>
    <col min="12" max="12" width="9.4609375" bestFit="1" customWidth="1"/>
    <col min="13" max="13" width="12.19140625" bestFit="1" customWidth="1"/>
    <col min="14" max="14" width="12.3828125" bestFit="1" customWidth="1"/>
    <col min="15" max="15" width="12.73046875" bestFit="1" customWidth="1"/>
    <col min="16" max="16" width="14.69140625" bestFit="1" customWidth="1"/>
    <col min="17" max="17" width="11.34375" bestFit="1" customWidth="1"/>
    <col min="18" max="18" width="11.84375" bestFit="1" customWidth="1"/>
    <col min="19" max="19" width="14.61328125" bestFit="1" customWidth="1"/>
    <col min="21" max="21" width="11.84375" bestFit="1" customWidth="1"/>
  </cols>
  <sheetData>
    <row r="1" spans="1:38" x14ac:dyDescent="0.85">
      <c r="B1" t="s">
        <v>64</v>
      </c>
      <c r="C1" t="s">
        <v>48</v>
      </c>
      <c r="D1" t="s">
        <v>34</v>
      </c>
      <c r="E1" t="s">
        <v>37</v>
      </c>
      <c r="F1" t="s">
        <v>81</v>
      </c>
      <c r="G1" t="s">
        <v>70</v>
      </c>
      <c r="H1" t="s">
        <v>40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113</v>
      </c>
      <c r="AB1" t="s">
        <v>114</v>
      </c>
      <c r="AC1" t="s">
        <v>115</v>
      </c>
      <c r="AD1" t="s">
        <v>116</v>
      </c>
      <c r="AE1" t="s">
        <v>117</v>
      </c>
      <c r="AF1" t="s">
        <v>118</v>
      </c>
      <c r="AG1" t="s">
        <v>97</v>
      </c>
      <c r="AH1" t="s">
        <v>98</v>
      </c>
      <c r="AI1" t="s">
        <v>99</v>
      </c>
      <c r="AJ1" t="s">
        <v>100</v>
      </c>
      <c r="AK1" t="s">
        <v>101</v>
      </c>
      <c r="AL1" t="s">
        <v>102</v>
      </c>
    </row>
    <row r="2" spans="1:38" x14ac:dyDescent="0.85">
      <c r="A2" t="s">
        <v>38</v>
      </c>
      <c r="B2" t="s">
        <v>128</v>
      </c>
      <c r="C2" t="s">
        <v>125</v>
      </c>
      <c r="D2" t="s">
        <v>1</v>
      </c>
      <c r="E2">
        <v>27</v>
      </c>
      <c r="F2">
        <v>0.12</v>
      </c>
      <c r="G2">
        <v>500</v>
      </c>
      <c r="H2">
        <v>1.02</v>
      </c>
      <c r="I2">
        <v>1</v>
      </c>
      <c r="J2">
        <v>1</v>
      </c>
      <c r="K2">
        <v>0.98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</row>
    <row r="3" spans="1:38" x14ac:dyDescent="0.85">
      <c r="A3" t="s">
        <v>87</v>
      </c>
      <c r="F3">
        <v>1</v>
      </c>
      <c r="G3">
        <v>0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</row>
    <row r="5" spans="1:38" x14ac:dyDescent="0.85">
      <c r="B5" t="s">
        <v>71</v>
      </c>
      <c r="C5" t="str" cm="1">
        <f t="array" ref="C5">IF(AND(LEN(Directory)&gt;0,LEN(Title)&gt;0,LEN(Region)&gt;0,ISNUMBER(E2:Z2),ISNUMBER(G3:Z3)), "OK", "Missing Data")</f>
        <v>OK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F2FE4-DAFA-4D16-B047-C6106624FCAB}">
  <sheetPr codeName="Sheet4"/>
  <dimension ref="A1:G18"/>
  <sheetViews>
    <sheetView workbookViewId="0">
      <selection sqref="A1:C8"/>
    </sheetView>
  </sheetViews>
  <sheetFormatPr defaultRowHeight="14.6" x14ac:dyDescent="0.85"/>
  <sheetData>
    <row r="1" spans="1:7" ht="15.4" thickBot="1" x14ac:dyDescent="1">
      <c r="A1" s="11" t="s">
        <v>15</v>
      </c>
      <c r="B1" s="12" t="s">
        <v>38</v>
      </c>
      <c r="C1" s="13" t="s">
        <v>39</v>
      </c>
      <c r="E1" s="11" t="s">
        <v>15</v>
      </c>
      <c r="F1" s="12" t="s">
        <v>38</v>
      </c>
      <c r="G1" s="13" t="s">
        <v>39</v>
      </c>
    </row>
    <row r="2" spans="1:7" ht="14.65" x14ac:dyDescent="0.85">
      <c r="A2" s="21" t="s">
        <v>33</v>
      </c>
      <c r="B2" s="22"/>
      <c r="C2" s="23"/>
      <c r="E2" s="21" t="s">
        <v>33</v>
      </c>
      <c r="F2" s="22"/>
      <c r="G2" s="23"/>
    </row>
    <row r="3" spans="1:7" ht="14.65" x14ac:dyDescent="0.85">
      <c r="A3" s="24" t="s">
        <v>34</v>
      </c>
      <c r="B3" s="25" t="s">
        <v>1</v>
      </c>
      <c r="C3" s="26"/>
      <c r="E3" s="24" t="s">
        <v>34</v>
      </c>
      <c r="F3" s="25" t="s">
        <v>80</v>
      </c>
      <c r="G3" s="26"/>
    </row>
    <row r="4" spans="1:7" ht="14.65" x14ac:dyDescent="0.85">
      <c r="A4" s="27" t="s">
        <v>40</v>
      </c>
      <c r="B4" s="25">
        <v>0.02</v>
      </c>
      <c r="C4" s="26">
        <v>0.02</v>
      </c>
      <c r="E4" s="27" t="s">
        <v>40</v>
      </c>
      <c r="F4" s="25">
        <v>0.02</v>
      </c>
      <c r="G4" s="26">
        <v>0.02</v>
      </c>
    </row>
    <row r="5" spans="1:7" ht="14.65" x14ac:dyDescent="0.85">
      <c r="A5" s="27" t="s">
        <v>37</v>
      </c>
      <c r="B5" s="25">
        <v>27</v>
      </c>
      <c r="C5" s="26"/>
      <c r="E5" s="27" t="s">
        <v>37</v>
      </c>
      <c r="F5" s="25">
        <v>3</v>
      </c>
      <c r="G5" s="26"/>
    </row>
    <row r="6" spans="1:7" ht="14.65" x14ac:dyDescent="0.85">
      <c r="A6" s="33" t="s">
        <v>64</v>
      </c>
      <c r="B6" s="25" t="s">
        <v>74</v>
      </c>
      <c r="C6" s="26"/>
      <c r="E6" s="33" t="s">
        <v>64</v>
      </c>
      <c r="F6" s="25" t="s">
        <v>73</v>
      </c>
      <c r="G6" s="26"/>
    </row>
    <row r="7" spans="1:7" ht="14.65" x14ac:dyDescent="0.85">
      <c r="A7" s="24" t="s">
        <v>70</v>
      </c>
      <c r="B7" s="25">
        <v>0</v>
      </c>
      <c r="C7" s="26">
        <v>0</v>
      </c>
      <c r="E7" s="33" t="s">
        <v>72</v>
      </c>
      <c r="F7" s="25"/>
      <c r="G7" s="26"/>
    </row>
    <row r="8" spans="1:7" ht="14.65" x14ac:dyDescent="0.85">
      <c r="A8" s="27" t="s">
        <v>16</v>
      </c>
      <c r="B8" s="25" t="s">
        <v>75</v>
      </c>
      <c r="C8" s="26"/>
      <c r="E8" s="24" t="s">
        <v>70</v>
      </c>
      <c r="F8" s="25">
        <v>0</v>
      </c>
      <c r="G8" s="26">
        <v>0</v>
      </c>
    </row>
    <row r="9" spans="1:7" ht="14.65" x14ac:dyDescent="0.85">
      <c r="A9" s="24" t="s">
        <v>70</v>
      </c>
      <c r="B9" s="25">
        <v>5</v>
      </c>
      <c r="C9" s="26">
        <v>0</v>
      </c>
      <c r="E9" s="27" t="s">
        <v>16</v>
      </c>
      <c r="F9" s="25" t="s">
        <v>75</v>
      </c>
      <c r="G9" s="26"/>
    </row>
    <row r="10" spans="1:7" ht="14.65" x14ac:dyDescent="0.85">
      <c r="A10" s="27" t="s">
        <v>16</v>
      </c>
      <c r="B10" s="25" t="s">
        <v>76</v>
      </c>
      <c r="C10" s="26"/>
      <c r="E10" s="24" t="s">
        <v>70</v>
      </c>
      <c r="F10" s="25">
        <v>5</v>
      </c>
      <c r="G10" s="26">
        <v>0</v>
      </c>
    </row>
    <row r="11" spans="1:7" ht="14.65" x14ac:dyDescent="0.85">
      <c r="A11" s="24" t="s">
        <v>70</v>
      </c>
      <c r="B11" s="25">
        <v>10</v>
      </c>
      <c r="C11" s="26">
        <v>0</v>
      </c>
      <c r="E11" s="27" t="s">
        <v>16</v>
      </c>
      <c r="F11" s="25" t="s">
        <v>76</v>
      </c>
      <c r="G11" s="26"/>
    </row>
    <row r="12" spans="1:7" ht="14.65" x14ac:dyDescent="0.85">
      <c r="A12" s="27" t="s">
        <v>16</v>
      </c>
      <c r="B12" s="25" t="s">
        <v>77</v>
      </c>
      <c r="C12" s="26"/>
      <c r="E12" s="24" t="s">
        <v>70</v>
      </c>
      <c r="F12" s="25">
        <v>10</v>
      </c>
      <c r="G12" s="26">
        <v>0</v>
      </c>
    </row>
    <row r="13" spans="1:7" ht="14.65" x14ac:dyDescent="0.85">
      <c r="A13" s="24" t="s">
        <v>70</v>
      </c>
      <c r="B13" s="25">
        <v>20</v>
      </c>
      <c r="C13" s="26">
        <v>0</v>
      </c>
      <c r="E13" s="27" t="s">
        <v>16</v>
      </c>
      <c r="F13" s="25" t="s">
        <v>77</v>
      </c>
      <c r="G13" s="26"/>
    </row>
    <row r="14" spans="1:7" ht="14.65" x14ac:dyDescent="0.85">
      <c r="A14" s="27" t="s">
        <v>16</v>
      </c>
      <c r="B14" s="25" t="s">
        <v>78</v>
      </c>
      <c r="C14" s="26"/>
      <c r="E14" s="24"/>
      <c r="F14" s="25"/>
      <c r="G14" s="26"/>
    </row>
    <row r="15" spans="1:7" ht="14.65" x14ac:dyDescent="0.85">
      <c r="A15" s="24" t="s">
        <v>70</v>
      </c>
      <c r="B15" s="25">
        <v>50</v>
      </c>
      <c r="C15" s="26">
        <v>0</v>
      </c>
      <c r="E15" s="27"/>
      <c r="F15" s="25"/>
      <c r="G15" s="26"/>
    </row>
    <row r="16" spans="1:7" ht="14.65" x14ac:dyDescent="0.85">
      <c r="A16" s="27" t="s">
        <v>16</v>
      </c>
      <c r="B16" s="25" t="s">
        <v>79</v>
      </c>
      <c r="C16" s="26"/>
    </row>
    <row r="17" spans="1:3" ht="14.65" x14ac:dyDescent="0.85">
      <c r="A17" s="24"/>
      <c r="B17" s="25"/>
      <c r="C17" s="26"/>
    </row>
    <row r="18" spans="1:3" x14ac:dyDescent="0.85">
      <c r="A18" s="24"/>
      <c r="B18" s="25"/>
      <c r="C18" s="26"/>
    </row>
  </sheetData>
  <conditionalFormatting sqref="B2:C18">
    <cfRule type="expression" dxfId="1" priority="2">
      <formula>AND($A2&lt;&gt; "CO2_Price", $A2 &lt;&gt; "Years")</formula>
    </cfRule>
  </conditionalFormatting>
  <conditionalFormatting sqref="F2:G15">
    <cfRule type="expression" dxfId="0" priority="1">
      <formula>AND($A2&lt;&gt; "CO2_Price", $A2 &lt;&gt; "Years")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48</vt:i4>
      </vt:variant>
    </vt:vector>
  </HeadingPairs>
  <TitlesOfParts>
    <vt:vector size="52" baseType="lpstr">
      <vt:lpstr>Program</vt:lpstr>
      <vt:lpstr>Example</vt:lpstr>
      <vt:lpstr>Inbox</vt:lpstr>
      <vt:lpstr>Old Setups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Initial</vt:lpstr>
      <vt:lpstr>Interest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Param_Start</vt:lpstr>
      <vt:lpstr>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Storage_Cap</vt:lpstr>
      <vt:lpstr>Storage_Capital</vt:lpstr>
      <vt:lpstr>Storage_Fixed</vt:lpstr>
      <vt:lpstr>Storage_Lifetime</vt:lpstr>
      <vt:lpstr>Storage_Max_PCT</vt:lpstr>
      <vt:lpstr>Storage_Variable</vt:lpstr>
      <vt:lpstr>Title</vt:lpstr>
      <vt:lpstr>Wind_Capital</vt:lpstr>
      <vt:lpstr>Wind_Fixed</vt:lpstr>
      <vt:lpstr>Wind_Lifetime</vt:lpstr>
      <vt:lpstr>Wind_Max_PCT</vt:lpstr>
      <vt:lpstr>Wind_Max_Rate</vt:lpstr>
      <vt:lpstr>Wind_Variable</vt:lpstr>
      <vt:lpstr>Years</vt:lpstr>
      <vt:lpstr>zzzz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2024-01-25T22:39:43Z</dcterms:modified>
</cp:coreProperties>
</file>