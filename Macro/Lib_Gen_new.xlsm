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" documentId="8_{9DC93BAD-02A0-4CF8-A793-082F6361F5C3}" xr6:coauthVersionLast="47" xr6:coauthVersionMax="47" xr10:uidLastSave="{275B506B-FFA1-48F5-9CE6-934EE1FDCBE3}"/>
  <bookViews>
    <workbookView xWindow="-90" yWindow="-90" windowWidth="16637" windowHeight="9437" activeTab="1" xr2:uid="{2DB270C5-EBA0-4D96-913E-EFBB62DDD8BE}"/>
  </bookViews>
  <sheets>
    <sheet name="Program" sheetId="1" r:id="rId1"/>
    <sheet name="History_" sheetId="4" r:id="rId2"/>
    <sheet name="Notes" sheetId="2" r:id="rId3"/>
    <sheet name="Inbox" sheetId="3" r:id="rId4"/>
  </sheets>
  <functionGroups builtInGroupCount="19"/>
  <definedNames>
    <definedName name="Battery_Capital">Inbox!$C$40</definedName>
    <definedName name="Battery_Fixed">Inbox!$C$41</definedName>
    <definedName name="Battery_Lifetime">Inbox!$C$42</definedName>
    <definedName name="Battery_Max_PCT">Inbox!$C$43</definedName>
    <definedName name="Battery_Variable">Inbox!$C$44</definedName>
    <definedName name="Check">Inbox!$I$5</definedName>
    <definedName name="CO2_Price">Inbox!$C$12</definedName>
    <definedName name="Coal_Capital">Inbox!$C$35</definedName>
    <definedName name="Coal_Fixed">Inbox!$C$36</definedName>
    <definedName name="Coal_Lifetime">Inbox!$C$37</definedName>
    <definedName name="Coal_Max_PCT">Inbox!$C$38</definedName>
    <definedName name="Coal_Variable">Inbox!$C$39</definedName>
    <definedName name="Command">Program!$A$1</definedName>
    <definedName name="Demand">Inbox!$C$14</definedName>
    <definedName name="Directory">Inbox!$B$4</definedName>
    <definedName name="First_Run">History_!$A$5</definedName>
    <definedName name="Gas_Capital">Inbox!$C$30</definedName>
    <definedName name="Gas_Fixed">Inbox!$C$31</definedName>
    <definedName name="Gas_Lifetime">Inbox!$C$32</definedName>
    <definedName name="Gas_Max_PCT">Inbox!$C$33</definedName>
    <definedName name="Gas_Variable">Inbox!$C$34</definedName>
    <definedName name="Inbox_Initial_Default">Inbox!$E$8:$E$44</definedName>
    <definedName name="Inbox_Numbers">Inbox!$A$8:$A$44</definedName>
    <definedName name="Inbox_Text">Inbox!$A$4:$A$7</definedName>
    <definedName name="Initial">Program!$B$1</definedName>
    <definedName name="Interest">Inbox!$C$13</definedName>
    <definedName name="Molten_Rate">Inbox!#REF!</definedName>
    <definedName name="Now_Date">Inbox!$B$2</definedName>
    <definedName name="Now_Time">Inbox!$B$3</definedName>
    <definedName name="Nuclear_Capital">Inbox!$C$25</definedName>
    <definedName name="Nuclear_Fixed">Inbox!$C$26</definedName>
    <definedName name="Nuclear_Lifetime">Inbox!$C$27</definedName>
    <definedName name="Nuclear_Max_PCT">Inbox!$C$28</definedName>
    <definedName name="Nuclear_Variable">Inbox!$C$29</definedName>
    <definedName name="One_Params">Inbox!$C$35:$D$49</definedName>
    <definedName name="Param_Start">Program!#REF!</definedName>
    <definedName name="Per_Year">Program!$C$1</definedName>
    <definedName name="Region">Inbox!$B$7</definedName>
    <definedName name="Regions">Program!$J$3:$J$15</definedName>
    <definedName name="Run_Cnt">History_!$B$1</definedName>
    <definedName name="Solar_Capital">Inbox!$C$15</definedName>
    <definedName name="Solar_Fixed">Inbox!$C$16</definedName>
    <definedName name="Solar_Lifetime">Inbox!$C$17</definedName>
    <definedName name="Solar_Max_PCT">Inbox!$C$18</definedName>
    <definedName name="Solar_Variable">Inbox!$C$19</definedName>
    <definedName name="Sub_Knob">Program!$E$22:$E$26</definedName>
    <definedName name="SubDir">Inbox!$B$5</definedName>
    <definedName name="SubSub">Inbox!$B$6</definedName>
    <definedName name="SuperCharge">Inbox!#REF!</definedName>
    <definedName name="Wind_Capital">Inbox!$C$20</definedName>
    <definedName name="Wind_Fixed">Inbox!$C$21</definedName>
    <definedName name="Wind_Lifetime">Inbox!$C$22</definedName>
    <definedName name="Wind_Max_PCT">Inbox!$C$23</definedName>
    <definedName name="Wind_Variable">Inbox!$C$24</definedName>
    <definedName name="Years">Inbox!$C$8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E11" i="2"/>
  <c r="F11" i="2"/>
  <c r="F10" i="2"/>
  <c r="E10" i="2"/>
  <c r="D10" i="2"/>
  <c r="I5" i="3" a="1"/>
  <c r="I5" i="3" s="1"/>
  <c r="B2" i="3"/>
  <c r="B3" i="3"/>
  <c r="B34" i="2" l="1"/>
  <c r="B35" i="2"/>
  <c r="B36" i="2"/>
  <c r="B37" i="2"/>
  <c r="E27" i="2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B28" i="2"/>
  <c r="B29" i="2"/>
  <c r="B30" i="2"/>
  <c r="B31" i="2"/>
  <c r="B32" i="2"/>
  <c r="B33" i="2"/>
  <c r="B2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<sst xmlns="http://schemas.openxmlformats.org/spreadsheetml/2006/main" count="245" uniqueCount="170">
  <si>
    <t>Regions: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</si>
  <si>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</si>
  <si>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</si>
  <si>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</si>
  <si>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</si>
  <si>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</si>
  <si>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</si>
  <si>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</si>
  <si>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</si>
  <si>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</si>
  <si>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</si>
  <si>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</si>
  <si>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</si>
  <si>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</si>
  <si>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</si>
  <si>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</si>
  <si>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</si>
  <si>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</si>
  <si>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</si>
  <si>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</si>
  <si>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</si>
  <si>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</si>
  <si>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</si>
  <si>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</si>
  <si>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</si>
  <si>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Solar_Variable</t>
  </si>
  <si>
    <t>Wind_Variable</t>
  </si>
  <si>
    <t>Nuclear_Variable</t>
  </si>
  <si>
    <t>Gas_Variable</t>
  </si>
  <si>
    <t>Coal_Variable</t>
  </si>
  <si>
    <t>Clear</t>
  </si>
  <si>
    <t>Region</t>
  </si>
  <si>
    <t>Description:</t>
  </si>
  <si>
    <t>Years</t>
  </si>
  <si>
    <t>Initial</t>
  </si>
  <si>
    <t>Per Year</t>
  </si>
  <si>
    <t>Demand</t>
  </si>
  <si>
    <t>N/A</t>
  </si>
  <si>
    <t>Title</t>
  </si>
  <si>
    <t>Demand, Fixed, Variable</t>
  </si>
  <si>
    <t>Year</t>
  </si>
  <si>
    <t>Multiplier</t>
  </si>
  <si>
    <t>CO2 Cost</t>
  </si>
  <si>
    <t>Directory</t>
  </si>
  <si>
    <t>CO2_Price</t>
  </si>
  <si>
    <t>Check</t>
  </si>
  <si>
    <t>Interest</t>
  </si>
  <si>
    <t>% per annum</t>
  </si>
  <si>
    <t>_Fixed</t>
  </si>
  <si>
    <t>_Variable</t>
  </si>
  <si>
    <t>Default = 12% (0.12)</t>
  </si>
  <si>
    <t>Yearly</t>
  </si>
  <si>
    <t>Init $/Ton</t>
  </si>
  <si>
    <t>Added $/Ton</t>
  </si>
  <si>
    <t>Construction Cost</t>
  </si>
  <si>
    <t>Maintenance, etc.</t>
  </si>
  <si>
    <t>Fuel, maintenance</t>
  </si>
  <si>
    <t>_Capital</t>
  </si>
  <si>
    <t>Solar_Lifetime</t>
  </si>
  <si>
    <t>Wind_Lifetime</t>
  </si>
  <si>
    <t>Nuclear_Lifetime</t>
  </si>
  <si>
    <t>Gas_Lifetime</t>
  </si>
  <si>
    <t>Coal_Lifetime</t>
  </si>
  <si>
    <t>_Lifetime</t>
  </si>
  <si>
    <t>Lifetime before retire</t>
  </si>
  <si>
    <t>Max increase, as a % of total MW</t>
  </si>
  <si>
    <t>_Max_PCT</t>
  </si>
  <si>
    <t>Solar_Capital</t>
  </si>
  <si>
    <t>Wind_Capital</t>
  </si>
  <si>
    <t>Nuclear_Capital</t>
  </si>
  <si>
    <t>Gas_Capital</t>
  </si>
  <si>
    <t>Coal_Capital</t>
  </si>
  <si>
    <t>Solar_Max_PCT</t>
  </si>
  <si>
    <t>Wind_Max_PCT</t>
  </si>
  <si>
    <t>Nuclear_Max_PCT</t>
  </si>
  <si>
    <t>Gas_Max_PCT</t>
  </si>
  <si>
    <t>Coal_Max_PCT</t>
  </si>
  <si>
    <t>Cooldown time (sec).</t>
  </si>
  <si>
    <t>US</t>
  </si>
  <si>
    <t>Text</t>
  </si>
  <si>
    <t>Battery_Capital</t>
  </si>
  <si>
    <t>Battery_Fixed</t>
  </si>
  <si>
    <t>Battery_Lifetime</t>
  </si>
  <si>
    <t>Battery_Max_PCT</t>
  </si>
  <si>
    <t>Battery_Variable</t>
  </si>
  <si>
    <t>Date</t>
  </si>
  <si>
    <t>Time</t>
  </si>
  <si>
    <t>Dir below \Library\ to put results</t>
  </si>
  <si>
    <t>Default Initial</t>
  </si>
  <si>
    <t>Default Yearly</t>
  </si>
  <si>
    <t>Kill_Mail</t>
  </si>
  <si>
    <t>Cooldown executed before run.</t>
  </si>
  <si>
    <t>Clears all params to Nominal</t>
  </si>
  <si>
    <t>Dir below \Library\Directory\ to put results. Also in filename.</t>
  </si>
  <si>
    <t xml:space="preserve"> </t>
  </si>
  <si>
    <t>SubDir</t>
  </si>
  <si>
    <t>No_Run</t>
  </si>
  <si>
    <r>
      <t xml:space="preserve">For Debug.  Run post-python part. </t>
    </r>
    <r>
      <rPr>
        <b/>
        <sz val="11"/>
        <color theme="1"/>
        <rFont val="Calibri"/>
        <family val="2"/>
        <scheme val="minor"/>
      </rPr>
      <t>DON"T Kill_Mail</t>
    </r>
  </si>
  <si>
    <t>Alias</t>
  </si>
  <si>
    <t>CO2</t>
  </si>
  <si>
    <t>Coal_Cap$</t>
  </si>
  <si>
    <t>Gas_Cap$</t>
  </si>
  <si>
    <t>Solar_Cap$</t>
  </si>
  <si>
    <t>Wind_Cap$</t>
  </si>
  <si>
    <t>Gas_Fix$</t>
  </si>
  <si>
    <t>Coal_Fix$</t>
  </si>
  <si>
    <t>Solar_Fix$</t>
  </si>
  <si>
    <t>Wind_Fix$</t>
  </si>
  <si>
    <t>Coal_Life</t>
  </si>
  <si>
    <t>Gas_Life</t>
  </si>
  <si>
    <t>Solar_Life</t>
  </si>
  <si>
    <t>Wind_Life</t>
  </si>
  <si>
    <t>Coal_Grow</t>
  </si>
  <si>
    <t>Gas_Grow</t>
  </si>
  <si>
    <t>Solar_Grow</t>
  </si>
  <si>
    <t>Wind_Grow</t>
  </si>
  <si>
    <t>Coal_Var$</t>
  </si>
  <si>
    <t>Gas_Var$</t>
  </si>
  <si>
    <t>Solar_Var$</t>
  </si>
  <si>
    <t>Wind_Var$</t>
  </si>
  <si>
    <t>Batt_Cap$</t>
  </si>
  <si>
    <t>Batt_Fix$</t>
  </si>
  <si>
    <t>Batt_Life</t>
  </si>
  <si>
    <t>Batt_Grow</t>
  </si>
  <si>
    <t>Batt_Var$</t>
  </si>
  <si>
    <t>Nuke_Cap$</t>
  </si>
  <si>
    <t>Nuke_Fix$</t>
  </si>
  <si>
    <t>Nuke_Life</t>
  </si>
  <si>
    <t>Nuke_Grow</t>
  </si>
  <si>
    <t>Nuke_Var$</t>
  </si>
  <si>
    <t>Int</t>
  </si>
  <si>
    <t>Need</t>
  </si>
  <si>
    <t>SubSub</t>
  </si>
  <si>
    <t>Normally set to either Constant_CO2 or Increasing_CO2</t>
  </si>
  <si>
    <t>Run_All</t>
  </si>
  <si>
    <t>Cooldown</t>
  </si>
  <si>
    <t>Fast_Build</t>
  </si>
  <si>
    <t>Double_All</t>
  </si>
  <si>
    <t>Following have prefix of Solar, Wind, Nuclear, Gas, Coal or Battery:</t>
  </si>
  <si>
    <t>Kill Python/Mailbox/Outbox</t>
  </si>
  <si>
    <t>Constant_CO2</t>
  </si>
  <si>
    <t>Year 1</t>
  </si>
  <si>
    <t>Year 2</t>
  </si>
  <si>
    <t>Year 3</t>
  </si>
  <si>
    <t>Kill old stuff in python directory</t>
  </si>
  <si>
    <t>Do years 2024 - 2050 inclusive</t>
  </si>
  <si>
    <t>Do entire US</t>
  </si>
  <si>
    <t>Main (Analysis) Directory</t>
  </si>
  <si>
    <t>Second (Case) Directory</t>
  </si>
  <si>
    <t>Third (CO2) Directory.  Run_All uses Constant_CO2 and Per_Year_CO2</t>
  </si>
  <si>
    <t>Double nominal Solar Maximum Growth Rate</t>
  </si>
  <si>
    <t>Wind Capital cost decreasing every year</t>
  </si>
  <si>
    <t>Nuclear Fixed cost decreasing every year</t>
  </si>
  <si>
    <t>2 x</t>
  </si>
  <si>
    <t>Run this case</t>
  </si>
  <si>
    <t>Set everything to Nominal</t>
  </si>
  <si>
    <t>Runs complete set - 5x Constant CO2; 5x Increasing CO2</t>
  </si>
  <si>
    <t>Initial multiplier</t>
  </si>
  <si>
    <t>Yearly multiplier</t>
  </si>
  <si>
    <r>
      <t xml:space="preserve">CO2 Price </t>
    </r>
    <r>
      <rPr>
        <b/>
        <sz val="11"/>
        <color theme="1"/>
        <rFont val="Calibri"/>
        <family val="2"/>
        <scheme val="minor"/>
      </rPr>
      <t>Adding</t>
    </r>
    <r>
      <rPr>
        <sz val="11"/>
        <color theme="1"/>
        <rFont val="Calibri"/>
        <family val="2"/>
        <scheme val="minor"/>
      </rPr>
      <t xml:space="preserve"> every year</t>
    </r>
  </si>
  <si>
    <t>Exponential Multiplier</t>
  </si>
  <si>
    <t>Total Electricity Demand
 Default 2%</t>
  </si>
  <si>
    <t>Number of years to run (default 26)</t>
  </si>
  <si>
    <t>New_Algorithm</t>
  </si>
  <si>
    <t>Diff-evo</t>
  </si>
  <si>
    <t>Method</t>
  </si>
  <si>
    <t>Tol</t>
  </si>
  <si>
    <t>Atol</t>
  </si>
  <si>
    <t>Run_Cnt</t>
  </si>
  <si>
    <t>Last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</si>
</sst>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;@"/>
    <numFmt numFmtId="166" formatCode="&quot;$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1" xfId="0" applyBorder="1"/>
    <xf numFmtId="0" fontId="1" fillId="0" borderId="14" xfId="0" applyFont="1" applyBorder="1"/>
    <xf numFmtId="0" fontId="1" fillId="0" borderId="15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7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0" borderId="8" xfId="0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7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29" xfId="0" applyBorder="1" applyAlignment="1">
      <alignment vertical="center" wrapText="1"/>
    </xf>
    <xf numFmtId="0" fontId="0" fillId="0" borderId="30" xfId="0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0" fillId="2" borderId="22" xfId="0" applyFill="1" applyBorder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" fillId="0" borderId="13" xfId="0" applyFont="1" applyBorder="1" applyAlignment="1" applyProtection="1">
      <alignment wrapText="1"/>
      <protection locked="0"/>
    </xf>
    <xf numFmtId="0" fontId="1" fillId="0" borderId="1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9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4" xfId="0" applyFont="1" applyBorder="1" applyAlignment="1" applyProtection="1">
      <alignment wrapText="1"/>
      <protection locked="0"/>
    </xf>
    <xf numFmtId="0" fontId="1" fillId="0" borderId="15" xfId="0" applyFont="1" applyBorder="1" applyAlignment="1" applyProtection="1">
      <alignment wrapText="1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35" xfId="0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1" fillId="0" borderId="13" xfId="0" applyFont="1" applyBorder="1" applyProtection="1">
      <protection locked="0"/>
    </xf>
    <xf numFmtId="0" fontId="1" fillId="0" borderId="14" xfId="0" applyFont="1" applyBorder="1" applyProtection="1">
      <protection locked="0"/>
    </xf>
    <xf numFmtId="0" fontId="1" fillId="0" borderId="15" xfId="0" applyFont="1" applyBorder="1" applyProtection="1">
      <protection locked="0"/>
    </xf>
    <xf numFmtId="9" fontId="0" fillId="2" borderId="9" xfId="0" applyNumberFormat="1" applyFill="1" applyBorder="1" applyProtection="1">
      <protection locked="0"/>
    </xf>
    <xf numFmtId="0" fontId="0" fillId="0" borderId="36" xfId="0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1" fillId="0" borderId="13" xfId="0" applyFont="1" applyBorder="1" applyAlignment="1">
      <alignment wrapText="1"/>
    </xf>
    <xf numFmtId="0" fontId="1" fillId="0" borderId="14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1" fillId="0" borderId="15" xfId="0" applyFont="1" applyBorder="1" applyAlignment="1">
      <alignment wrapText="1"/>
    </xf>
    <xf numFmtId="0" fontId="0" fillId="0" borderId="2" xfId="0" applyBorder="1" applyAlignment="1">
      <alignment vertical="center" wrapText="1"/>
    </xf>
    <xf numFmtId="0" fontId="0" fillId="0" borderId="5" xfId="0" applyBorder="1"/>
    <xf numFmtId="0" fontId="0" fillId="0" borderId="21" xfId="0" applyBorder="1"/>
    <xf numFmtId="0" fontId="0" fillId="0" borderId="32" xfId="0" applyBorder="1" applyAlignment="1">
      <alignment vertical="center" wrapText="1"/>
    </xf>
    <xf numFmtId="0" fontId="0" fillId="0" borderId="33" xfId="0" applyBorder="1" applyAlignment="1">
      <alignment vertical="center" wrapText="1"/>
    </xf>
    <xf numFmtId="0" fontId="0" fillId="0" borderId="34" xfId="0" applyBorder="1" applyAlignment="1">
      <alignment vertical="center" wrapText="1"/>
    </xf>
    <xf numFmtId="11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Notes!$E$26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Notes!$E$27:$E$37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Notes!$B$26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Notes!$A$27:$A$37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Notes!$B$27:$B$37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193220</xdr:colOff>
      <xdr:row>1</xdr:row>
      <xdr:rowOff>64872</xdr:rowOff>
    </xdr:from>
    <xdr:to>
      <xdr:col>3</xdr:col>
      <xdr:colOff>897308</xdr:colOff>
      <xdr:row>5</xdr:row>
      <xdr:rowOff>25864</xdr:rowOff>
    </xdr:to>
    <xdr:sp macro="[0]!gen_lib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16</xdr:row>
      <xdr:rowOff>92075</xdr:rowOff>
    </xdr:from>
    <xdr:to>
      <xdr:col>6</xdr:col>
      <xdr:colOff>527050</xdr:colOff>
      <xdr:row>22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16</xdr:row>
      <xdr:rowOff>92075</xdr:rowOff>
    </xdr:from>
    <xdr:to>
      <xdr:col>2</xdr:col>
      <xdr:colOff>574676</xdr:colOff>
      <xdr:row>22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33"/>
  <sheetViews>
    <sheetView workbookViewId="0">
      <pane ySplit="1" topLeftCell="A2" activePane="bottomLeft" state="frozen"/>
      <selection activeCell="B1" sqref="B1"/>
      <selection pane="bottomLeft" activeCell="B10" sqref="B10"/>
    </sheetView>
  </sheetViews>
  <sheetFormatPr defaultRowHeight="14.6" x14ac:dyDescent="0.85"/>
  <cols>
    <col min="1" max="1" width="14.19140625" style="8" customWidth="1"/>
    <col min="2" max="2" width="16.9609375" style="8" customWidth="1"/>
    <col min="3" max="3" width="8.53515625" style="8" bestFit="1" customWidth="1"/>
    <col min="4" max="4" width="15.15234375" customWidth="1"/>
    <col min="5" max="5" width="14.69140625" bestFit="1" customWidth="1"/>
    <col min="6" max="6" width="12.9609375" bestFit="1" customWidth="1"/>
    <col min="7" max="7" width="12.9609375" customWidth="1"/>
    <col min="8" max="8" width="30.53515625" customWidth="1"/>
    <col min="9" max="9" width="3.34375" customWidth="1"/>
    <col min="10" max="10" width="10.5" bestFit="1" customWidth="1"/>
    <col min="11" max="11" width="7.11328125" customWidth="1"/>
  </cols>
  <sheetData>
    <row r="1" spans="1:11" s="23" customFormat="1" ht="29.8" thickBot="1" x14ac:dyDescent="1">
      <c r="A1" s="32" t="s">
        <v>14</v>
      </c>
      <c r="B1" s="40" t="s">
        <v>34</v>
      </c>
      <c r="C1" s="41" t="s">
        <v>35</v>
      </c>
      <c r="E1" s="33" t="s">
        <v>17</v>
      </c>
      <c r="F1" s="34" t="s">
        <v>157</v>
      </c>
      <c r="G1" s="35" t="s">
        <v>158</v>
      </c>
      <c r="H1" s="36" t="s">
        <v>32</v>
      </c>
      <c r="I1" s="37"/>
      <c r="J1" s="38" t="s">
        <v>0</v>
      </c>
      <c r="K1" s="39"/>
    </row>
    <row r="2" spans="1:11" ht="14.65" x14ac:dyDescent="0.85">
      <c r="A2" s="9" t="s">
        <v>30</v>
      </c>
      <c r="B2" s="42"/>
      <c r="C2" s="43"/>
      <c r="E2" s="1" t="s">
        <v>30</v>
      </c>
      <c r="F2" s="2" t="s">
        <v>37</v>
      </c>
      <c r="G2" s="2" t="s">
        <v>37</v>
      </c>
      <c r="H2" s="3" t="s">
        <v>92</v>
      </c>
      <c r="J2" s="18" t="s">
        <v>78</v>
      </c>
    </row>
    <row r="3" spans="1:11" ht="14.65" x14ac:dyDescent="0.85">
      <c r="A3" s="27" t="s">
        <v>90</v>
      </c>
      <c r="B3" s="44"/>
      <c r="C3" s="45"/>
      <c r="E3" s="1" t="s">
        <v>90</v>
      </c>
      <c r="F3" s="2" t="s">
        <v>37</v>
      </c>
      <c r="G3" s="2" t="s">
        <v>37</v>
      </c>
      <c r="H3" s="3" t="s">
        <v>139</v>
      </c>
      <c r="J3" s="19" t="s">
        <v>1</v>
      </c>
    </row>
    <row r="4" spans="1:11" ht="14.65" x14ac:dyDescent="0.85">
      <c r="A4" s="10" t="s">
        <v>31</v>
      </c>
      <c r="B4" s="46" t="s">
        <v>1</v>
      </c>
      <c r="C4" s="47"/>
      <c r="E4" s="1" t="s">
        <v>43</v>
      </c>
      <c r="F4" s="2" t="s">
        <v>38</v>
      </c>
      <c r="G4" s="2" t="s">
        <v>37</v>
      </c>
      <c r="H4" s="3" t="s">
        <v>87</v>
      </c>
      <c r="J4" s="19" t="s">
        <v>2</v>
      </c>
    </row>
    <row r="5" spans="1:11" x14ac:dyDescent="0.85">
      <c r="A5" s="10" t="s">
        <v>44</v>
      </c>
      <c r="B5" s="46">
        <v>200</v>
      </c>
      <c r="C5" s="47">
        <v>0</v>
      </c>
      <c r="E5" s="57" t="s">
        <v>95</v>
      </c>
      <c r="F5" s="59" t="s">
        <v>38</v>
      </c>
      <c r="G5" s="59" t="s">
        <v>37</v>
      </c>
      <c r="H5" s="61" t="s">
        <v>93</v>
      </c>
      <c r="J5" s="19" t="s">
        <v>3</v>
      </c>
    </row>
    <row r="6" spans="1:11" x14ac:dyDescent="0.85">
      <c r="A6" s="10" t="s">
        <v>43</v>
      </c>
      <c r="B6" s="46" t="s">
        <v>163</v>
      </c>
      <c r="C6" s="47"/>
      <c r="E6" s="58"/>
      <c r="F6" s="60"/>
      <c r="G6" s="60"/>
      <c r="H6" s="62"/>
      <c r="J6" s="19" t="s">
        <v>4</v>
      </c>
    </row>
    <row r="7" spans="1:11" x14ac:dyDescent="0.85">
      <c r="A7" s="10" t="s">
        <v>95</v>
      </c>
      <c r="B7" s="46" t="s">
        <v>164</v>
      </c>
      <c r="C7" s="47"/>
      <c r="E7" s="57" t="s">
        <v>132</v>
      </c>
      <c r="F7" s="59" t="s">
        <v>38</v>
      </c>
      <c r="G7" s="59" t="s">
        <v>37</v>
      </c>
      <c r="H7" s="61" t="s">
        <v>133</v>
      </c>
      <c r="J7" s="19" t="s">
        <v>5</v>
      </c>
    </row>
    <row r="8" spans="1:11" x14ac:dyDescent="0.85">
      <c r="A8" s="10" t="s">
        <v>132</v>
      </c>
      <c r="B8" s="53" t="s">
        <v>140</v>
      </c>
      <c r="C8" s="47"/>
      <c r="E8" s="58"/>
      <c r="F8" s="60"/>
      <c r="G8" s="60"/>
      <c r="H8" s="62"/>
      <c r="J8" s="19" t="s">
        <v>6</v>
      </c>
    </row>
    <row r="9" spans="1:11" x14ac:dyDescent="0.85">
      <c r="A9" s="10" t="s">
        <v>33</v>
      </c>
      <c r="B9" s="46">
        <v>4</v>
      </c>
      <c r="C9" s="47"/>
      <c r="E9" s="57" t="s">
        <v>15</v>
      </c>
      <c r="F9" s="59" t="s">
        <v>77</v>
      </c>
      <c r="G9" s="59" t="s">
        <v>37</v>
      </c>
      <c r="H9" s="61" t="s">
        <v>91</v>
      </c>
      <c r="J9" s="19" t="s">
        <v>7</v>
      </c>
    </row>
    <row r="10" spans="1:11" x14ac:dyDescent="0.85">
      <c r="A10" s="10" t="s">
        <v>15</v>
      </c>
      <c r="B10" s="46"/>
      <c r="C10" s="47"/>
      <c r="E10" s="58"/>
      <c r="F10" s="60"/>
      <c r="G10" s="60"/>
      <c r="H10" s="62"/>
      <c r="J10" s="19" t="s">
        <v>8</v>
      </c>
    </row>
    <row r="11" spans="1:11" ht="14.65" customHeight="1" x14ac:dyDescent="0.85">
      <c r="A11" s="10"/>
      <c r="B11" s="46"/>
      <c r="C11" s="47"/>
      <c r="E11" s="57" t="s">
        <v>134</v>
      </c>
      <c r="F11" s="59" t="s">
        <v>135</v>
      </c>
      <c r="G11" s="59" t="s">
        <v>37</v>
      </c>
      <c r="H11" s="61" t="s">
        <v>156</v>
      </c>
      <c r="J11" s="19" t="s">
        <v>9</v>
      </c>
    </row>
    <row r="12" spans="1:11" x14ac:dyDescent="0.85">
      <c r="A12" s="10"/>
      <c r="B12" s="46"/>
      <c r="C12" s="47"/>
      <c r="E12" s="58"/>
      <c r="F12" s="60"/>
      <c r="G12" s="60"/>
      <c r="H12" s="62"/>
      <c r="J12" s="19" t="s">
        <v>10</v>
      </c>
    </row>
    <row r="13" spans="1:11" ht="14.65" x14ac:dyDescent="0.85">
      <c r="A13" s="10"/>
      <c r="B13" s="46"/>
      <c r="C13" s="47"/>
      <c r="E13" s="1" t="s">
        <v>18</v>
      </c>
      <c r="F13" s="2" t="s">
        <v>37</v>
      </c>
      <c r="G13" s="2" t="s">
        <v>37</v>
      </c>
      <c r="H13" s="3" t="s">
        <v>19</v>
      </c>
      <c r="J13" s="19" t="s">
        <v>11</v>
      </c>
    </row>
    <row r="14" spans="1:11" ht="14.65" x14ac:dyDescent="0.85">
      <c r="A14" s="10"/>
      <c r="B14" s="46"/>
      <c r="C14" s="47"/>
      <c r="D14" t="s">
        <v>94</v>
      </c>
      <c r="E14" s="1" t="s">
        <v>44</v>
      </c>
      <c r="F14" s="2" t="s">
        <v>52</v>
      </c>
      <c r="G14" s="4" t="s">
        <v>53</v>
      </c>
      <c r="H14" s="3"/>
      <c r="J14" s="19" t="s">
        <v>12</v>
      </c>
    </row>
    <row r="15" spans="1:11" ht="15.4" customHeight="1" thickBot="1" x14ac:dyDescent="1">
      <c r="A15" s="10"/>
      <c r="B15" s="46"/>
      <c r="C15" s="47"/>
      <c r="E15" s="57" t="s">
        <v>36</v>
      </c>
      <c r="F15" s="59" t="s">
        <v>41</v>
      </c>
      <c r="G15" s="59" t="s">
        <v>160</v>
      </c>
      <c r="H15" s="61" t="s">
        <v>161</v>
      </c>
      <c r="J15" s="20" t="s">
        <v>13</v>
      </c>
    </row>
    <row r="16" spans="1:11" x14ac:dyDescent="0.85">
      <c r="A16" s="10"/>
      <c r="B16" s="46"/>
      <c r="C16" s="47"/>
      <c r="E16" s="58"/>
      <c r="F16" s="60"/>
      <c r="G16" s="60"/>
      <c r="H16" s="62"/>
      <c r="J16" s="5"/>
    </row>
    <row r="17" spans="1:8" ht="14.65" customHeight="1" x14ac:dyDescent="0.85">
      <c r="A17" s="10"/>
      <c r="B17" s="46"/>
      <c r="C17" s="47"/>
      <c r="E17" s="24" t="s">
        <v>46</v>
      </c>
      <c r="F17" s="25" t="s">
        <v>47</v>
      </c>
      <c r="G17" s="25" t="s">
        <v>37</v>
      </c>
      <c r="H17" s="26" t="s">
        <v>50</v>
      </c>
    </row>
    <row r="18" spans="1:8" ht="14.65" x14ac:dyDescent="0.85">
      <c r="A18" s="10"/>
      <c r="B18" s="46"/>
      <c r="C18" s="47"/>
      <c r="E18" s="54" t="s">
        <v>33</v>
      </c>
      <c r="F18" s="55"/>
      <c r="G18" s="55" t="s">
        <v>37</v>
      </c>
      <c r="H18" s="56" t="s">
        <v>162</v>
      </c>
    </row>
    <row r="19" spans="1:8" x14ac:dyDescent="0.85">
      <c r="A19" s="10"/>
      <c r="B19" s="46"/>
      <c r="C19" s="47"/>
      <c r="E19" s="57" t="s">
        <v>96</v>
      </c>
      <c r="F19" s="59" t="s">
        <v>37</v>
      </c>
      <c r="G19" s="59" t="s">
        <v>37</v>
      </c>
      <c r="H19" s="61" t="s">
        <v>97</v>
      </c>
    </row>
    <row r="20" spans="1:8" ht="15.25" thickBot="1" x14ac:dyDescent="1">
      <c r="A20" s="10"/>
      <c r="B20" s="46"/>
      <c r="C20" s="47"/>
      <c r="E20" s="70"/>
      <c r="F20" s="71"/>
      <c r="G20" s="71"/>
      <c r="H20" s="72"/>
    </row>
    <row r="21" spans="1:8" ht="15.4" thickBot="1" x14ac:dyDescent="1">
      <c r="A21" s="10"/>
      <c r="B21" s="46"/>
      <c r="C21" s="47"/>
      <c r="E21" s="63" t="s">
        <v>138</v>
      </c>
      <c r="F21" s="64"/>
      <c r="G21" s="65"/>
      <c r="H21" s="66"/>
    </row>
    <row r="22" spans="1:8" x14ac:dyDescent="0.85">
      <c r="A22" s="10"/>
      <c r="B22" s="46"/>
      <c r="C22" s="47"/>
      <c r="E22" s="15" t="s">
        <v>57</v>
      </c>
      <c r="F22" s="67" t="s">
        <v>41</v>
      </c>
      <c r="G22" s="67" t="s">
        <v>41</v>
      </c>
      <c r="H22" s="16" t="s">
        <v>54</v>
      </c>
    </row>
    <row r="23" spans="1:8" x14ac:dyDescent="0.85">
      <c r="A23" s="10"/>
      <c r="B23" s="46"/>
      <c r="C23" s="47"/>
      <c r="E23" s="1" t="s">
        <v>48</v>
      </c>
      <c r="F23" s="68"/>
      <c r="G23" s="68"/>
      <c r="H23" s="3" t="s">
        <v>55</v>
      </c>
    </row>
    <row r="24" spans="1:8" x14ac:dyDescent="0.85">
      <c r="A24" s="10"/>
      <c r="B24" s="46"/>
      <c r="C24" s="47"/>
      <c r="E24" s="1" t="s">
        <v>49</v>
      </c>
      <c r="F24" s="68"/>
      <c r="G24" s="68"/>
      <c r="H24" s="3" t="s">
        <v>56</v>
      </c>
    </row>
    <row r="25" spans="1:8" x14ac:dyDescent="0.85">
      <c r="A25" s="10"/>
      <c r="B25" s="46"/>
      <c r="C25" s="47"/>
      <c r="E25" s="1" t="s">
        <v>63</v>
      </c>
      <c r="F25" s="68"/>
      <c r="G25" s="68"/>
      <c r="H25" s="3" t="s">
        <v>64</v>
      </c>
    </row>
    <row r="26" spans="1:8" ht="15.25" thickBot="1" x14ac:dyDescent="1">
      <c r="A26" s="10"/>
      <c r="B26" s="46"/>
      <c r="C26" s="47"/>
      <c r="E26" s="17" t="s">
        <v>66</v>
      </c>
      <c r="F26" s="69"/>
      <c r="G26" s="69"/>
      <c r="H26" s="14" t="s">
        <v>65</v>
      </c>
    </row>
    <row r="27" spans="1:8" x14ac:dyDescent="0.85">
      <c r="A27" s="10"/>
      <c r="B27" s="46"/>
      <c r="C27" s="47"/>
    </row>
    <row r="28" spans="1:8" x14ac:dyDescent="0.85">
      <c r="A28" s="10"/>
      <c r="B28" s="46"/>
      <c r="C28" s="47"/>
    </row>
    <row r="29" spans="1:8" x14ac:dyDescent="0.85">
      <c r="A29" s="10"/>
      <c r="B29" s="46"/>
      <c r="C29" s="47"/>
    </row>
    <row r="30" spans="1:8" x14ac:dyDescent="0.85">
      <c r="A30" s="10"/>
      <c r="B30" s="46"/>
      <c r="C30" s="47"/>
    </row>
    <row r="31" spans="1:8" x14ac:dyDescent="0.85">
      <c r="A31" s="10"/>
      <c r="B31" s="46"/>
      <c r="C31" s="47"/>
    </row>
    <row r="32" spans="1:8" x14ac:dyDescent="0.85">
      <c r="A32" s="10"/>
      <c r="B32" s="46"/>
      <c r="C32" s="47"/>
    </row>
    <row r="33" spans="1:3" ht="15.25" thickBot="1" x14ac:dyDescent="1">
      <c r="A33" s="11"/>
      <c r="B33" s="48"/>
      <c r="C33" s="49"/>
    </row>
  </sheetData>
  <mergeCells count="27">
    <mergeCell ref="E21:H21"/>
    <mergeCell ref="F22:F26"/>
    <mergeCell ref="G22:G26"/>
    <mergeCell ref="E19:E20"/>
    <mergeCell ref="F19:F20"/>
    <mergeCell ref="G19:G20"/>
    <mergeCell ref="H19:H20"/>
    <mergeCell ref="E5:E6"/>
    <mergeCell ref="F5:F6"/>
    <mergeCell ref="G5:G6"/>
    <mergeCell ref="H5:H6"/>
    <mergeCell ref="E9:E10"/>
    <mergeCell ref="F9:F10"/>
    <mergeCell ref="G9:G10"/>
    <mergeCell ref="H9:H10"/>
    <mergeCell ref="E7:E8"/>
    <mergeCell ref="F7:F8"/>
    <mergeCell ref="G7:G8"/>
    <mergeCell ref="H7:H8"/>
    <mergeCell ref="E11:E12"/>
    <mergeCell ref="F11:F12"/>
    <mergeCell ref="G11:G12"/>
    <mergeCell ref="H11:H12"/>
    <mergeCell ref="E15:E16"/>
    <mergeCell ref="F15:F16"/>
    <mergeCell ref="G15:G16"/>
    <mergeCell ref="H15:H16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FDEB-D001-42FA-8CBD-B4F6ADCD23D4}">
  <dimension ref="A1:F4"/>
  <sheetViews>
    <sheetView tabSelected="1" workbookViewId="0">
      <selection activeCell="F5" sqref="F5"/>
    </sheetView>
  </sheetViews>
  <sheetFormatPr defaultRowHeight="14.6" x14ac:dyDescent="0.85"/>
  <sheetData>
    <row r="1" spans="1:6" x14ac:dyDescent="0.85">
      <c r="A1" t="s">
        <v>168</v>
      </c>
      <c r="B1">
        <v>0</v>
      </c>
    </row>
    <row r="4" spans="1:6" x14ac:dyDescent="0.85">
      <c r="B4" t="s">
        <v>86</v>
      </c>
      <c r="C4" t="s">
        <v>165</v>
      </c>
      <c r="D4" t="s">
        <v>166</v>
      </c>
      <c r="E4" t="s">
        <v>167</v>
      </c>
      <c r="F4" t="s">
        <v>169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G38"/>
  <sheetViews>
    <sheetView workbookViewId="0">
      <selection activeCell="G12" sqref="G1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4" max="4" width="6.07421875" customWidth="1"/>
    <col min="5" max="5" width="6.61328125" customWidth="1"/>
    <col min="6" max="6" width="18.57421875" customWidth="1"/>
  </cols>
  <sheetData>
    <row r="1" spans="1:7" ht="15.4" thickBot="1" x14ac:dyDescent="1">
      <c r="A1" s="50" t="s">
        <v>14</v>
      </c>
      <c r="B1" s="51" t="s">
        <v>34</v>
      </c>
      <c r="C1" s="52" t="s">
        <v>35</v>
      </c>
      <c r="D1" s="28" t="s">
        <v>141</v>
      </c>
      <c r="E1" s="28" t="s">
        <v>142</v>
      </c>
      <c r="F1" s="28" t="s">
        <v>143</v>
      </c>
    </row>
    <row r="2" spans="1:7" ht="14.65" x14ac:dyDescent="0.85">
      <c r="A2" s="9" t="s">
        <v>30</v>
      </c>
      <c r="B2" s="42"/>
      <c r="C2" s="43"/>
      <c r="D2" s="29"/>
      <c r="E2" s="29"/>
      <c r="F2" s="29"/>
      <c r="G2" t="s">
        <v>155</v>
      </c>
    </row>
    <row r="3" spans="1:7" ht="14.65" x14ac:dyDescent="0.85">
      <c r="A3" s="27" t="s">
        <v>90</v>
      </c>
      <c r="B3" s="44"/>
      <c r="C3" s="45"/>
      <c r="D3" s="29"/>
      <c r="E3" s="29"/>
      <c r="F3" s="29"/>
      <c r="G3" t="s">
        <v>144</v>
      </c>
    </row>
    <row r="4" spans="1:7" ht="14.65" x14ac:dyDescent="0.85">
      <c r="A4" s="10" t="s">
        <v>31</v>
      </c>
      <c r="B4" s="46" t="s">
        <v>78</v>
      </c>
      <c r="C4" s="47"/>
      <c r="D4" s="29"/>
      <c r="E4" s="29"/>
      <c r="F4" s="29"/>
      <c r="G4" t="s">
        <v>146</v>
      </c>
    </row>
    <row r="5" spans="1:7" ht="14.65" x14ac:dyDescent="0.85">
      <c r="A5" s="10" t="s">
        <v>33</v>
      </c>
      <c r="B5" s="46">
        <v>27</v>
      </c>
      <c r="C5" s="47"/>
      <c r="D5" s="29"/>
      <c r="E5" s="29"/>
      <c r="F5" s="29"/>
      <c r="G5" t="s">
        <v>145</v>
      </c>
    </row>
    <row r="6" spans="1:7" ht="14.65" x14ac:dyDescent="0.85">
      <c r="A6" s="10" t="s">
        <v>43</v>
      </c>
      <c r="B6" s="46" t="s">
        <v>136</v>
      </c>
      <c r="C6" s="47"/>
      <c r="D6" s="29"/>
      <c r="E6" s="29"/>
      <c r="F6" s="29"/>
      <c r="G6" t="s">
        <v>147</v>
      </c>
    </row>
    <row r="7" spans="1:7" ht="14.65" x14ac:dyDescent="0.85">
      <c r="A7" s="10" t="s">
        <v>95</v>
      </c>
      <c r="B7" s="46" t="s">
        <v>137</v>
      </c>
      <c r="C7" s="47"/>
      <c r="D7" s="29"/>
      <c r="E7" s="29"/>
      <c r="F7" s="29"/>
      <c r="G7" t="s">
        <v>148</v>
      </c>
    </row>
    <row r="8" spans="1:7" ht="14.65" x14ac:dyDescent="0.85">
      <c r="A8" s="10" t="s">
        <v>132</v>
      </c>
      <c r="B8" s="46" t="s">
        <v>140</v>
      </c>
      <c r="C8" s="47"/>
      <c r="D8" s="29"/>
      <c r="E8" s="29"/>
      <c r="F8" s="29"/>
      <c r="G8" t="s">
        <v>149</v>
      </c>
    </row>
    <row r="9" spans="1:7" ht="14.65" x14ac:dyDescent="0.85">
      <c r="A9" s="10" t="s">
        <v>72</v>
      </c>
      <c r="B9" s="46">
        <v>2</v>
      </c>
      <c r="C9" s="47"/>
      <c r="D9" s="30" t="s">
        <v>153</v>
      </c>
      <c r="E9" s="30" t="s">
        <v>153</v>
      </c>
      <c r="F9" s="30" t="s">
        <v>153</v>
      </c>
      <c r="G9" t="s">
        <v>150</v>
      </c>
    </row>
    <row r="10" spans="1:7" ht="14.65" x14ac:dyDescent="0.85">
      <c r="A10" s="10" t="s">
        <v>68</v>
      </c>
      <c r="B10" s="46">
        <v>0.8</v>
      </c>
      <c r="C10" s="47">
        <v>0.9</v>
      </c>
      <c r="D10" s="30" t="str">
        <f xml:space="preserve"> B10 &amp; "x"</f>
        <v>0.8x</v>
      </c>
      <c r="E10" s="30" t="str">
        <f>C10*B10 &amp; "x"</f>
        <v>0.72x</v>
      </c>
      <c r="F10" s="30" t="str">
        <f>B10*C10*C10 &amp; "x"</f>
        <v>0.648x</v>
      </c>
      <c r="G10" t="s">
        <v>151</v>
      </c>
    </row>
    <row r="11" spans="1:7" ht="14.65" x14ac:dyDescent="0.85">
      <c r="A11" s="10" t="s">
        <v>22</v>
      </c>
      <c r="B11" s="46">
        <v>0.7</v>
      </c>
      <c r="C11" s="47">
        <v>0.6</v>
      </c>
      <c r="D11" s="30" t="str">
        <f xml:space="preserve"> B11 &amp; "x"</f>
        <v>0.7x</v>
      </c>
      <c r="E11" s="30" t="str">
        <f>C11*B11 &amp; "x"</f>
        <v>0.42x</v>
      </c>
      <c r="F11" s="30" t="str">
        <f>B11*C11*C11 &amp; "x"</f>
        <v>0.252x</v>
      </c>
      <c r="G11" t="s">
        <v>152</v>
      </c>
    </row>
    <row r="12" spans="1:7" ht="14.65" x14ac:dyDescent="0.85">
      <c r="A12" s="10" t="s">
        <v>44</v>
      </c>
      <c r="B12" s="46">
        <v>3</v>
      </c>
      <c r="C12" s="47">
        <v>4</v>
      </c>
      <c r="D12" s="31">
        <v>3</v>
      </c>
      <c r="E12" s="31">
        <v>7</v>
      </c>
      <c r="F12" s="31">
        <v>11</v>
      </c>
      <c r="G12" t="s">
        <v>159</v>
      </c>
    </row>
    <row r="13" spans="1:7" ht="14.65" x14ac:dyDescent="0.85">
      <c r="A13" s="10" t="s">
        <v>15</v>
      </c>
      <c r="B13" s="46"/>
      <c r="C13" s="47"/>
      <c r="D13" s="29"/>
      <c r="E13" s="29"/>
      <c r="F13" s="29"/>
      <c r="G13" t="s">
        <v>154</v>
      </c>
    </row>
    <row r="16" spans="1:7" ht="14.65" x14ac:dyDescent="0.85">
      <c r="B16" t="s">
        <v>16</v>
      </c>
      <c r="E16" t="s">
        <v>39</v>
      </c>
    </row>
    <row r="23" spans="1:6" ht="15.25" thickBot="1" x14ac:dyDescent="1"/>
    <row r="24" spans="1:6" ht="15.25" thickBot="1" x14ac:dyDescent="1">
      <c r="B24" s="6" t="s">
        <v>34</v>
      </c>
      <c r="C24" s="7" t="s">
        <v>35</v>
      </c>
      <c r="E24" s="6" t="s">
        <v>34</v>
      </c>
      <c r="F24" s="7" t="s">
        <v>35</v>
      </c>
    </row>
    <row r="25" spans="1:6" x14ac:dyDescent="0.85">
      <c r="B25">
        <v>5</v>
      </c>
      <c r="C25">
        <v>20</v>
      </c>
      <c r="E25" s="12">
        <v>0.05</v>
      </c>
      <c r="F25" s="12">
        <v>0.2</v>
      </c>
    </row>
    <row r="26" spans="1:6" x14ac:dyDescent="0.85">
      <c r="A26" t="s">
        <v>40</v>
      </c>
      <c r="B26" t="s">
        <v>42</v>
      </c>
      <c r="E26" t="s">
        <v>41</v>
      </c>
    </row>
    <row r="27" spans="1:6" x14ac:dyDescent="0.85">
      <c r="A27">
        <v>0</v>
      </c>
      <c r="B27">
        <f>$B$25+(A27*$C$25)</f>
        <v>5</v>
      </c>
      <c r="E27" s="13">
        <f>1+$E$25</f>
        <v>1.05</v>
      </c>
      <c r="F27" s="13"/>
    </row>
    <row r="28" spans="1:6" x14ac:dyDescent="0.85">
      <c r="A28">
        <v>1</v>
      </c>
      <c r="B28">
        <f t="shared" ref="B28:B37" si="0">$B$25+(A28*$C$25)</f>
        <v>25</v>
      </c>
      <c r="E28" s="13">
        <f>E27*(1+$F$25)</f>
        <v>1.26</v>
      </c>
      <c r="F28" s="13"/>
    </row>
    <row r="29" spans="1:6" x14ac:dyDescent="0.85">
      <c r="A29">
        <v>2</v>
      </c>
      <c r="B29">
        <f t="shared" si="0"/>
        <v>45</v>
      </c>
      <c r="E29" s="13">
        <f t="shared" ref="E29:E37" si="1">E28*(1+$F$25)</f>
        <v>1.512</v>
      </c>
      <c r="F29" s="13"/>
    </row>
    <row r="30" spans="1:6" x14ac:dyDescent="0.85">
      <c r="A30">
        <v>3</v>
      </c>
      <c r="B30">
        <f t="shared" si="0"/>
        <v>65</v>
      </c>
      <c r="E30" s="13">
        <f t="shared" si="1"/>
        <v>1.8144</v>
      </c>
      <c r="F30" s="13"/>
    </row>
    <row r="31" spans="1:6" x14ac:dyDescent="0.85">
      <c r="A31">
        <v>4</v>
      </c>
      <c r="B31">
        <f t="shared" si="0"/>
        <v>85</v>
      </c>
      <c r="E31" s="13">
        <f t="shared" si="1"/>
        <v>2.1772800000000001</v>
      </c>
      <c r="F31" s="13"/>
    </row>
    <row r="32" spans="1:6" x14ac:dyDescent="0.85">
      <c r="A32">
        <v>5</v>
      </c>
      <c r="B32">
        <f t="shared" si="0"/>
        <v>105</v>
      </c>
      <c r="E32" s="13">
        <f t="shared" si="1"/>
        <v>2.6127359999999999</v>
      </c>
      <c r="F32" s="13"/>
    </row>
    <row r="33" spans="1:6" x14ac:dyDescent="0.85">
      <c r="A33">
        <v>6</v>
      </c>
      <c r="B33">
        <f t="shared" si="0"/>
        <v>125</v>
      </c>
      <c r="E33" s="13">
        <f t="shared" si="1"/>
        <v>3.1352831999999999</v>
      </c>
      <c r="F33" s="13"/>
    </row>
    <row r="34" spans="1:6" x14ac:dyDescent="0.85">
      <c r="A34">
        <v>7</v>
      </c>
      <c r="B34">
        <f t="shared" si="0"/>
        <v>145</v>
      </c>
      <c r="E34" s="13">
        <f t="shared" si="1"/>
        <v>3.7623398399999997</v>
      </c>
      <c r="F34" s="13"/>
    </row>
    <row r="35" spans="1:6" x14ac:dyDescent="0.85">
      <c r="A35">
        <v>8</v>
      </c>
      <c r="B35">
        <f t="shared" si="0"/>
        <v>165</v>
      </c>
      <c r="E35" s="13">
        <f t="shared" si="1"/>
        <v>4.5148078079999996</v>
      </c>
    </row>
    <row r="36" spans="1:6" x14ac:dyDescent="0.85">
      <c r="A36">
        <v>9</v>
      </c>
      <c r="B36">
        <f t="shared" si="0"/>
        <v>185</v>
      </c>
      <c r="E36" s="13">
        <f t="shared" si="1"/>
        <v>5.4177693695999993</v>
      </c>
    </row>
    <row r="37" spans="1:6" x14ac:dyDescent="0.85">
      <c r="A37">
        <v>10</v>
      </c>
      <c r="B37">
        <f t="shared" si="0"/>
        <v>205</v>
      </c>
      <c r="E37" s="13">
        <f t="shared" si="1"/>
        <v>6.501323243519999</v>
      </c>
    </row>
    <row r="38" spans="1:6" x14ac:dyDescent="0.85">
      <c r="E38" s="1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I57"/>
  <sheetViews>
    <sheetView workbookViewId="0">
      <selection activeCell="C11" sqref="C11"/>
    </sheetView>
  </sheetViews>
  <sheetFormatPr defaultRowHeight="14.6" x14ac:dyDescent="0.85"/>
  <cols>
    <col min="1" max="1" width="15.265625" bestFit="1" customWidth="1"/>
    <col min="2" max="2" width="20.69140625" customWidth="1"/>
    <col min="3" max="3" width="12.5" customWidth="1"/>
    <col min="4" max="4" width="10.5" customWidth="1"/>
    <col min="5" max="5" width="8.57421875" bestFit="1" customWidth="1"/>
    <col min="6" max="6" width="8.57421875" customWidth="1"/>
    <col min="7" max="7" width="15.265625" bestFit="1" customWidth="1"/>
    <col min="8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9" s="23" customFormat="1" ht="29.15" x14ac:dyDescent="0.85">
      <c r="B1" s="23" t="s">
        <v>79</v>
      </c>
      <c r="C1" s="23" t="s">
        <v>34</v>
      </c>
      <c r="D1" s="23" t="s">
        <v>51</v>
      </c>
      <c r="E1" s="23" t="s">
        <v>88</v>
      </c>
      <c r="F1" s="23" t="s">
        <v>89</v>
      </c>
      <c r="G1" s="23" t="s">
        <v>98</v>
      </c>
    </row>
    <row r="2" spans="1:9" ht="14.65" x14ac:dyDescent="0.85">
      <c r="A2" t="s">
        <v>85</v>
      </c>
      <c r="B2" s="22">
        <f ca="1">TODAY()</f>
        <v>45851</v>
      </c>
      <c r="G2" t="s">
        <v>85</v>
      </c>
    </row>
    <row r="3" spans="1:9" ht="14.65" x14ac:dyDescent="0.85">
      <c r="A3" t="s">
        <v>86</v>
      </c>
      <c r="B3" s="21">
        <f ca="1">NOW()</f>
        <v>45851.410888078703</v>
      </c>
      <c r="G3" t="s">
        <v>86</v>
      </c>
    </row>
    <row r="4" spans="1:9" ht="14.65" x14ac:dyDescent="0.85">
      <c r="A4" t="s">
        <v>43</v>
      </c>
      <c r="B4" s="8" t="s">
        <v>163</v>
      </c>
      <c r="C4" s="8"/>
      <c r="D4" s="8"/>
      <c r="E4" s="8"/>
      <c r="F4" s="8"/>
      <c r="G4" t="s">
        <v>43</v>
      </c>
      <c r="I4" t="s">
        <v>45</v>
      </c>
    </row>
    <row r="5" spans="1:9" ht="14.65" x14ac:dyDescent="0.85">
      <c r="A5" t="s">
        <v>95</v>
      </c>
      <c r="B5" s="8" t="s">
        <v>164</v>
      </c>
      <c r="C5" s="8"/>
      <c r="D5" s="8"/>
      <c r="E5" s="8"/>
      <c r="F5" s="8"/>
      <c r="G5" t="s">
        <v>95</v>
      </c>
      <c r="I5" t="str" cm="1">
        <f t="array" ref="I5">IF(AND(LEN(Directory)&gt;0,LEN(SubDir)&gt;0,LEN(Region)&gt;0,ISNUMBER(C12:C44),ISNUMBER(D12:D44), Years &gt; 0), "OK", "Missing Data")</f>
        <v>OK</v>
      </c>
    </row>
    <row r="6" spans="1:9" ht="14.65" x14ac:dyDescent="0.85">
      <c r="A6" t="s">
        <v>132</v>
      </c>
      <c r="B6" s="8" t="s">
        <v>140</v>
      </c>
      <c r="C6" s="8"/>
      <c r="D6" s="8"/>
      <c r="E6" s="8"/>
      <c r="F6" s="8"/>
    </row>
    <row r="7" spans="1:9" ht="14.65" x14ac:dyDescent="0.85">
      <c r="A7" t="s">
        <v>31</v>
      </c>
      <c r="B7" s="8" t="s">
        <v>1</v>
      </c>
      <c r="C7" s="8"/>
      <c r="D7" s="8"/>
      <c r="E7" s="8"/>
      <c r="F7" s="8"/>
      <c r="G7" t="s">
        <v>31</v>
      </c>
    </row>
    <row r="8" spans="1:9" ht="14.65" x14ac:dyDescent="0.85">
      <c r="A8" t="s">
        <v>33</v>
      </c>
      <c r="B8" s="8"/>
      <c r="C8" s="8">
        <v>4</v>
      </c>
      <c r="D8" s="8"/>
      <c r="E8" s="8">
        <v>26</v>
      </c>
      <c r="F8" s="8">
        <v>0</v>
      </c>
      <c r="G8" t="s">
        <v>33</v>
      </c>
    </row>
    <row r="9" spans="1:9" x14ac:dyDescent="0.85">
      <c r="A9" t="s">
        <v>165</v>
      </c>
      <c r="B9" s="8" t="s">
        <v>164</v>
      </c>
      <c r="C9" s="8"/>
      <c r="D9" s="8"/>
      <c r="E9" s="8"/>
      <c r="F9" s="8"/>
    </row>
    <row r="10" spans="1:9" ht="14.65" x14ac:dyDescent="0.85">
      <c r="A10" t="s">
        <v>166</v>
      </c>
      <c r="C10" s="73">
        <v>1E-3</v>
      </c>
      <c r="D10" s="8"/>
      <c r="E10" s="8"/>
      <c r="F10" s="8"/>
    </row>
    <row r="11" spans="1:9" ht="14.65" x14ac:dyDescent="0.85">
      <c r="A11" t="s">
        <v>167</v>
      </c>
      <c r="B11" s="8"/>
      <c r="C11" s="73">
        <v>9.9999999999999995E-7</v>
      </c>
      <c r="D11" s="8"/>
      <c r="E11" s="8"/>
      <c r="F11" s="8"/>
    </row>
    <row r="12" spans="1:9" ht="14.65" x14ac:dyDescent="0.85">
      <c r="A12" t="s">
        <v>44</v>
      </c>
      <c r="B12" s="8"/>
      <c r="C12" s="8">
        <v>200</v>
      </c>
      <c r="D12" s="8">
        <v>0</v>
      </c>
      <c r="E12" s="8">
        <v>0</v>
      </c>
      <c r="F12" s="8">
        <v>0</v>
      </c>
      <c r="G12" t="s">
        <v>99</v>
      </c>
    </row>
    <row r="13" spans="1:9" ht="14.65" x14ac:dyDescent="0.85">
      <c r="A13" t="s">
        <v>46</v>
      </c>
      <c r="B13" s="8"/>
      <c r="C13" s="8">
        <v>0.12</v>
      </c>
      <c r="D13" s="8">
        <v>1</v>
      </c>
      <c r="E13" s="8">
        <v>0.12</v>
      </c>
      <c r="F13" s="8">
        <v>1</v>
      </c>
      <c r="G13" t="s">
        <v>130</v>
      </c>
    </row>
    <row r="14" spans="1:9" ht="14.65" x14ac:dyDescent="0.85">
      <c r="A14" t="s">
        <v>36</v>
      </c>
      <c r="B14" s="8"/>
      <c r="C14" s="8">
        <v>1.02</v>
      </c>
      <c r="D14" s="8">
        <v>1</v>
      </c>
      <c r="E14" s="8">
        <v>1.02</v>
      </c>
      <c r="F14" s="8">
        <v>1</v>
      </c>
      <c r="G14" t="s">
        <v>131</v>
      </c>
    </row>
    <row r="15" spans="1:9" ht="14.65" x14ac:dyDescent="0.85">
      <c r="A15" t="s">
        <v>67</v>
      </c>
      <c r="C15">
        <v>1</v>
      </c>
      <c r="D15" s="8">
        <v>1</v>
      </c>
      <c r="E15">
        <v>1</v>
      </c>
      <c r="F15" s="8">
        <v>1</v>
      </c>
      <c r="G15" t="s">
        <v>102</v>
      </c>
    </row>
    <row r="16" spans="1:9" ht="14.65" x14ac:dyDescent="0.85">
      <c r="A16" t="s">
        <v>20</v>
      </c>
      <c r="C16">
        <v>1</v>
      </c>
      <c r="D16" s="8">
        <v>1</v>
      </c>
      <c r="E16">
        <v>1</v>
      </c>
      <c r="F16" s="8">
        <v>1</v>
      </c>
      <c r="G16" t="s">
        <v>106</v>
      </c>
    </row>
    <row r="17" spans="1:7" ht="14.65" x14ac:dyDescent="0.85">
      <c r="A17" t="s">
        <v>58</v>
      </c>
      <c r="C17">
        <v>1</v>
      </c>
      <c r="D17" s="8">
        <v>1</v>
      </c>
      <c r="E17">
        <v>1</v>
      </c>
      <c r="F17" s="8">
        <v>1</v>
      </c>
      <c r="G17" t="s">
        <v>110</v>
      </c>
    </row>
    <row r="18" spans="1:7" ht="14.65" x14ac:dyDescent="0.85">
      <c r="A18" t="s">
        <v>72</v>
      </c>
      <c r="C18">
        <v>1</v>
      </c>
      <c r="D18" s="8">
        <v>1</v>
      </c>
      <c r="E18">
        <v>1</v>
      </c>
      <c r="F18" s="8">
        <v>1</v>
      </c>
      <c r="G18" t="s">
        <v>114</v>
      </c>
    </row>
    <row r="19" spans="1:7" ht="14.65" x14ac:dyDescent="0.85">
      <c r="A19" t="s">
        <v>25</v>
      </c>
      <c r="C19">
        <v>1</v>
      </c>
      <c r="D19" s="8">
        <v>1</v>
      </c>
      <c r="E19">
        <v>1</v>
      </c>
      <c r="F19" s="8">
        <v>1</v>
      </c>
      <c r="G19" t="s">
        <v>118</v>
      </c>
    </row>
    <row r="20" spans="1:7" ht="14.65" x14ac:dyDescent="0.85">
      <c r="A20" t="s">
        <v>68</v>
      </c>
      <c r="C20">
        <v>1</v>
      </c>
      <c r="D20" s="8">
        <v>1</v>
      </c>
      <c r="E20">
        <v>1</v>
      </c>
      <c r="F20" s="8">
        <v>1</v>
      </c>
      <c r="G20" t="s">
        <v>103</v>
      </c>
    </row>
    <row r="21" spans="1:7" ht="14.65" x14ac:dyDescent="0.85">
      <c r="A21" t="s">
        <v>21</v>
      </c>
      <c r="C21">
        <v>1</v>
      </c>
      <c r="D21" s="8">
        <v>1</v>
      </c>
      <c r="E21">
        <v>1</v>
      </c>
      <c r="F21" s="8">
        <v>1</v>
      </c>
      <c r="G21" t="s">
        <v>107</v>
      </c>
    </row>
    <row r="22" spans="1:7" ht="14.65" x14ac:dyDescent="0.85">
      <c r="A22" t="s">
        <v>59</v>
      </c>
      <c r="C22">
        <v>1</v>
      </c>
      <c r="D22" s="8">
        <v>1</v>
      </c>
      <c r="E22">
        <v>1</v>
      </c>
      <c r="F22" s="8">
        <v>1</v>
      </c>
      <c r="G22" t="s">
        <v>111</v>
      </c>
    </row>
    <row r="23" spans="1:7" ht="14.65" x14ac:dyDescent="0.85">
      <c r="A23" t="s">
        <v>73</v>
      </c>
      <c r="C23">
        <v>1</v>
      </c>
      <c r="D23" s="8">
        <v>1</v>
      </c>
      <c r="E23">
        <v>1</v>
      </c>
      <c r="F23" s="8">
        <v>1</v>
      </c>
      <c r="G23" t="s">
        <v>115</v>
      </c>
    </row>
    <row r="24" spans="1:7" x14ac:dyDescent="0.85">
      <c r="A24" t="s">
        <v>26</v>
      </c>
      <c r="C24">
        <v>1</v>
      </c>
      <c r="D24" s="8">
        <v>1</v>
      </c>
      <c r="E24">
        <v>1</v>
      </c>
      <c r="F24" s="8">
        <v>1</v>
      </c>
      <c r="G24" t="s">
        <v>119</v>
      </c>
    </row>
    <row r="25" spans="1:7" x14ac:dyDescent="0.85">
      <c r="A25" t="s">
        <v>69</v>
      </c>
      <c r="C25">
        <v>1</v>
      </c>
      <c r="D25" s="8">
        <v>1</v>
      </c>
      <c r="E25">
        <v>1</v>
      </c>
      <c r="F25" s="8">
        <v>1</v>
      </c>
      <c r="G25" t="s">
        <v>125</v>
      </c>
    </row>
    <row r="26" spans="1:7" x14ac:dyDescent="0.85">
      <c r="A26" t="s">
        <v>22</v>
      </c>
      <c r="C26">
        <v>1</v>
      </c>
      <c r="D26" s="8">
        <v>1</v>
      </c>
      <c r="E26">
        <v>1</v>
      </c>
      <c r="F26" s="8">
        <v>1</v>
      </c>
      <c r="G26" t="s">
        <v>126</v>
      </c>
    </row>
    <row r="27" spans="1:7" x14ac:dyDescent="0.85">
      <c r="A27" t="s">
        <v>60</v>
      </c>
      <c r="C27">
        <v>1</v>
      </c>
      <c r="D27" s="8">
        <v>1</v>
      </c>
      <c r="E27">
        <v>1</v>
      </c>
      <c r="F27" s="8">
        <v>1</v>
      </c>
      <c r="G27" t="s">
        <v>127</v>
      </c>
    </row>
    <row r="28" spans="1:7" x14ac:dyDescent="0.85">
      <c r="A28" t="s">
        <v>74</v>
      </c>
      <c r="C28">
        <v>1</v>
      </c>
      <c r="D28" s="8">
        <v>1</v>
      </c>
      <c r="E28">
        <v>1</v>
      </c>
      <c r="F28" s="8">
        <v>1</v>
      </c>
      <c r="G28" t="s">
        <v>128</v>
      </c>
    </row>
    <row r="29" spans="1:7" x14ac:dyDescent="0.85">
      <c r="A29" t="s">
        <v>27</v>
      </c>
      <c r="C29">
        <v>1</v>
      </c>
      <c r="D29" s="8">
        <v>1</v>
      </c>
      <c r="E29">
        <v>1</v>
      </c>
      <c r="F29" s="8">
        <v>1</v>
      </c>
      <c r="G29" t="s">
        <v>129</v>
      </c>
    </row>
    <row r="30" spans="1:7" x14ac:dyDescent="0.85">
      <c r="A30" t="s">
        <v>70</v>
      </c>
      <c r="C30">
        <v>1</v>
      </c>
      <c r="D30" s="8">
        <v>1</v>
      </c>
      <c r="E30">
        <v>1</v>
      </c>
      <c r="F30" s="8">
        <v>1</v>
      </c>
      <c r="G30" t="s">
        <v>101</v>
      </c>
    </row>
    <row r="31" spans="1:7" x14ac:dyDescent="0.85">
      <c r="A31" t="s">
        <v>23</v>
      </c>
      <c r="C31">
        <v>1</v>
      </c>
      <c r="D31" s="8">
        <v>1</v>
      </c>
      <c r="E31">
        <v>1</v>
      </c>
      <c r="F31" s="8">
        <v>1</v>
      </c>
      <c r="G31" t="s">
        <v>104</v>
      </c>
    </row>
    <row r="32" spans="1:7" x14ac:dyDescent="0.85">
      <c r="A32" t="s">
        <v>61</v>
      </c>
      <c r="C32">
        <v>1</v>
      </c>
      <c r="D32" s="8">
        <v>1</v>
      </c>
      <c r="E32">
        <v>1</v>
      </c>
      <c r="F32" s="8">
        <v>1</v>
      </c>
      <c r="G32" t="s">
        <v>109</v>
      </c>
    </row>
    <row r="33" spans="1:7" x14ac:dyDescent="0.85">
      <c r="A33" t="s">
        <v>75</v>
      </c>
      <c r="C33">
        <v>1</v>
      </c>
      <c r="D33" s="8">
        <v>1</v>
      </c>
      <c r="E33">
        <v>1</v>
      </c>
      <c r="F33" s="8">
        <v>1</v>
      </c>
      <c r="G33" t="s">
        <v>113</v>
      </c>
    </row>
    <row r="34" spans="1:7" x14ac:dyDescent="0.85">
      <c r="A34" t="s">
        <v>28</v>
      </c>
      <c r="C34">
        <v>1</v>
      </c>
      <c r="D34" s="8">
        <v>1</v>
      </c>
      <c r="E34">
        <v>1</v>
      </c>
      <c r="F34" s="8">
        <v>1</v>
      </c>
      <c r="G34" t="s">
        <v>117</v>
      </c>
    </row>
    <row r="35" spans="1:7" x14ac:dyDescent="0.85">
      <c r="A35" t="s">
        <v>71</v>
      </c>
      <c r="C35">
        <v>1</v>
      </c>
      <c r="D35" s="8">
        <v>1</v>
      </c>
      <c r="E35">
        <v>1</v>
      </c>
      <c r="F35" s="8">
        <v>1</v>
      </c>
      <c r="G35" t="s">
        <v>100</v>
      </c>
    </row>
    <row r="36" spans="1:7" x14ac:dyDescent="0.85">
      <c r="A36" t="s">
        <v>24</v>
      </c>
      <c r="C36">
        <v>1</v>
      </c>
      <c r="D36" s="8">
        <v>1</v>
      </c>
      <c r="E36">
        <v>1</v>
      </c>
      <c r="F36" s="8">
        <v>1</v>
      </c>
      <c r="G36" t="s">
        <v>105</v>
      </c>
    </row>
    <row r="37" spans="1:7" x14ac:dyDescent="0.85">
      <c r="A37" t="s">
        <v>62</v>
      </c>
      <c r="C37">
        <v>1</v>
      </c>
      <c r="D37" s="8">
        <v>1</v>
      </c>
      <c r="E37">
        <v>1</v>
      </c>
      <c r="F37" s="8">
        <v>1</v>
      </c>
      <c r="G37" t="s">
        <v>108</v>
      </c>
    </row>
    <row r="38" spans="1:7" x14ac:dyDescent="0.85">
      <c r="A38" t="s">
        <v>76</v>
      </c>
      <c r="C38">
        <v>1</v>
      </c>
      <c r="D38" s="8">
        <v>1</v>
      </c>
      <c r="E38">
        <v>1</v>
      </c>
      <c r="F38" s="8">
        <v>1</v>
      </c>
      <c r="G38" t="s">
        <v>112</v>
      </c>
    </row>
    <row r="39" spans="1:7" x14ac:dyDescent="0.85">
      <c r="A39" t="s">
        <v>29</v>
      </c>
      <c r="C39">
        <v>1</v>
      </c>
      <c r="D39" s="8">
        <v>1</v>
      </c>
      <c r="E39">
        <v>1</v>
      </c>
      <c r="F39" s="8">
        <v>1</v>
      </c>
      <c r="G39" t="s">
        <v>116</v>
      </c>
    </row>
    <row r="40" spans="1:7" x14ac:dyDescent="0.85">
      <c r="A40" t="s">
        <v>80</v>
      </c>
      <c r="C40">
        <v>1</v>
      </c>
      <c r="D40" s="8">
        <v>1</v>
      </c>
      <c r="E40">
        <v>1</v>
      </c>
      <c r="F40" s="8">
        <v>1</v>
      </c>
      <c r="G40" t="s">
        <v>120</v>
      </c>
    </row>
    <row r="41" spans="1:7" x14ac:dyDescent="0.85">
      <c r="A41" t="s">
        <v>81</v>
      </c>
      <c r="C41">
        <v>1</v>
      </c>
      <c r="D41" s="8">
        <v>1</v>
      </c>
      <c r="E41">
        <v>1</v>
      </c>
      <c r="F41" s="8">
        <v>1</v>
      </c>
      <c r="G41" t="s">
        <v>121</v>
      </c>
    </row>
    <row r="42" spans="1:7" x14ac:dyDescent="0.85">
      <c r="A42" t="s">
        <v>82</v>
      </c>
      <c r="C42">
        <v>1</v>
      </c>
      <c r="D42" s="8">
        <v>1</v>
      </c>
      <c r="E42">
        <v>1</v>
      </c>
      <c r="F42" s="8">
        <v>1</v>
      </c>
      <c r="G42" t="s">
        <v>122</v>
      </c>
    </row>
    <row r="43" spans="1:7" x14ac:dyDescent="0.85">
      <c r="A43" t="s">
        <v>83</v>
      </c>
      <c r="C43">
        <v>1</v>
      </c>
      <c r="D43" s="8">
        <v>1</v>
      </c>
      <c r="E43">
        <v>1</v>
      </c>
      <c r="F43" s="8">
        <v>1</v>
      </c>
      <c r="G43" t="s">
        <v>123</v>
      </c>
    </row>
    <row r="44" spans="1:7" x14ac:dyDescent="0.85">
      <c r="A44" t="s">
        <v>84</v>
      </c>
      <c r="C44">
        <v>1</v>
      </c>
      <c r="D44" s="8">
        <v>1</v>
      </c>
      <c r="E44">
        <v>1</v>
      </c>
      <c r="F44" s="8">
        <v>1</v>
      </c>
      <c r="G44" t="s">
        <v>124</v>
      </c>
    </row>
    <row r="50" spans="2:6" x14ac:dyDescent="0.85">
      <c r="B50" s="8"/>
      <c r="C50" s="8"/>
      <c r="D50" s="8"/>
      <c r="E50" s="8"/>
      <c r="F50" s="8"/>
    </row>
    <row r="51" spans="2:6" x14ac:dyDescent="0.85">
      <c r="B51" s="8"/>
      <c r="C51" s="8"/>
      <c r="D51" s="8"/>
      <c r="E51" s="8"/>
      <c r="F51" s="8"/>
    </row>
    <row r="52" spans="2:6" x14ac:dyDescent="0.85">
      <c r="B52" s="8"/>
      <c r="C52" s="8"/>
      <c r="D52" s="8"/>
      <c r="E52" s="8"/>
      <c r="F52" s="8"/>
    </row>
    <row r="53" spans="2:6" x14ac:dyDescent="0.85">
      <c r="B53" s="8"/>
      <c r="C53" s="8"/>
      <c r="D53" s="8"/>
      <c r="E53" s="8"/>
      <c r="F53" s="8"/>
    </row>
    <row r="54" spans="2:6" x14ac:dyDescent="0.85">
      <c r="B54" s="8"/>
      <c r="C54" s="8"/>
      <c r="D54" s="8"/>
      <c r="E54" s="8"/>
      <c r="F54" s="8"/>
    </row>
    <row r="55" spans="2:6" x14ac:dyDescent="0.85">
      <c r="B55" s="8"/>
      <c r="C55" s="8"/>
      <c r="D55" s="8"/>
      <c r="E55" s="8"/>
      <c r="F55" s="8"/>
    </row>
    <row r="56" spans="2:6" x14ac:dyDescent="0.85">
      <c r="B56" s="8"/>
      <c r="C56" s="8"/>
      <c r="D56" s="8"/>
      <c r="E56" s="8"/>
      <c r="F56" s="8"/>
    </row>
    <row r="57" spans="2:6" x14ac:dyDescent="0.85">
      <c r="B57" s="8"/>
      <c r="C57" s="8"/>
      <c r="D57" s="8"/>
      <c r="E57" s="8"/>
      <c r="F57" s="8"/>
    </row>
  </sheetData>
  <sortState xmlns:xlrd2="http://schemas.microsoft.com/office/spreadsheetml/2017/richdata2" ref="A40:G49">
    <sortCondition ref="A40:A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52</vt:i4>
      </vt:variant>
    </vt:vector>
  </HeadingPairs>
  <TitlesOfParts>
    <vt:vector size="56" baseType="lpstr">
      <vt:lpstr>Program</vt:lpstr>
      <vt:lpstr>History_</vt:lpstr>
      <vt:lpstr>Notes</vt:lpstr>
      <vt:lpstr>Inbox</vt:lpstr>
      <vt:lpstr>Battery_Capital</vt:lpstr>
      <vt:lpstr>Battery_Fixed</vt:lpstr>
      <vt:lpstr>Battery_Lifetime</vt:lpstr>
      <vt:lpstr>Battery_Max_PCT</vt:lpstr>
      <vt:lpstr>Battery_Variable</vt:lpstr>
      <vt:lpstr>Check</vt:lpstr>
      <vt:lpstr>CO2_Price</vt:lpstr>
      <vt:lpstr>Coal_Capital</vt:lpstr>
      <vt:lpstr>Coal_Fixed</vt:lpstr>
      <vt:lpstr>Coal_Lifetime</vt:lpstr>
      <vt:lpstr>Coal_Max_PCT</vt:lpstr>
      <vt:lpstr>Coal_Variable</vt:lpstr>
      <vt:lpstr>Command</vt:lpstr>
      <vt:lpstr>Demand</vt:lpstr>
      <vt:lpstr>Directory</vt:lpstr>
      <vt:lpstr>First_Run</vt:lpstr>
      <vt:lpstr>Gas_Capital</vt:lpstr>
      <vt:lpstr>Gas_Fixed</vt:lpstr>
      <vt:lpstr>Gas_Lifetime</vt:lpstr>
      <vt:lpstr>Gas_Max_PCT</vt:lpstr>
      <vt:lpstr>Gas_Variable</vt:lpstr>
      <vt:lpstr>Inbox_Initial_Default</vt:lpstr>
      <vt:lpstr>Inbox_Numbers</vt:lpstr>
      <vt:lpstr>Inbox_Text</vt:lpstr>
      <vt:lpstr>Initial</vt:lpstr>
      <vt:lpstr>Interest</vt:lpstr>
      <vt:lpstr>Now_Date</vt:lpstr>
      <vt:lpstr>Now_Time</vt:lpstr>
      <vt:lpstr>Nuclear_Capital</vt:lpstr>
      <vt:lpstr>Nuclear_Fixed</vt:lpstr>
      <vt:lpstr>Nuclear_Lifetime</vt:lpstr>
      <vt:lpstr>Nuclear_Max_PCT</vt:lpstr>
      <vt:lpstr>Nuclear_Variable</vt:lpstr>
      <vt:lpstr>One_Params</vt:lpstr>
      <vt:lpstr>Per_Year</vt:lpstr>
      <vt:lpstr>Region</vt:lpstr>
      <vt:lpstr>Regions</vt:lpstr>
      <vt:lpstr>Run_Cnt</vt:lpstr>
      <vt:lpstr>Solar_Capital</vt:lpstr>
      <vt:lpstr>Solar_Fixed</vt:lpstr>
      <vt:lpstr>Solar_Lifetime</vt:lpstr>
      <vt:lpstr>Solar_Max_PCT</vt:lpstr>
      <vt:lpstr>Solar_Variable</vt:lpstr>
      <vt:lpstr>Sub_Knob</vt:lpstr>
      <vt:lpstr>SubDir</vt:lpstr>
      <vt:lpstr>SubSub</vt:lpstr>
      <vt:lpstr>Wind_Capital</vt:lpstr>
      <vt:lpstr>Wind_Fixed</vt:lpstr>
      <vt:lpstr>Wind_Lifetime</vt:lpstr>
      <vt:lpstr>Wind_Max_PCT</vt:lpstr>
      <vt:lpstr>Wind_Variable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2024-06-17T19:06:15Z</cp:lastPrinted>
  <dcterms:created xsi:type="dcterms:W3CDTF">2023-05-22T02:57:04Z</dcterms:created>
  <dcterms:modified xsi:type="dcterms:W3CDTF">2025-07-13T17:09:02Z</dcterms:modified>
</cp:coreProperties>
</file>