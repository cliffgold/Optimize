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3" documentId="13_ncr:1_{F8A9EC2E-E6BE-4181-AEBB-2DD57E610F08}" xr6:coauthVersionLast="47" xr6:coauthVersionMax="47" xr10:uidLastSave="{7AF1B619-7662-4326-9731-AF8CB514A55C}"/>
  <bookViews>
    <workbookView xWindow="-90" yWindow="-90" windowWidth="16637" windowHeight="9437" xr2:uid="{0B2538F3-33E4-4CB4-9FA0-45F36E89CEE4}"/>
  </bookViews>
  <sheets>
    <sheet name="Sheet1" sheetId="1" r:id="rId1"/>
  </sheets>
  <definedNames>
    <definedName name="CSV_Range">Sheet1!$A$1:$G$8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 a="1"/>
  <c r="D4" i="1" a="1"/>
  <c r="E3" i="1" a="1"/>
  <c r="B4" i="1" a="1"/>
  <c r="C4" i="1" a="1"/>
  <c r="F6" i="1" a="1"/>
  <c r="F8" i="1" a="1"/>
  <c r="D7" i="1" a="1"/>
  <c r="E6" i="1" a="1"/>
  <c r="B7" i="1" a="1"/>
  <c r="G6" i="1" a="1"/>
  <c r="B6" i="1" a="1"/>
  <c r="G5" i="1" a="1"/>
  <c r="C3" i="1" a="1"/>
  <c r="E4" i="1" a="1"/>
  <c r="B3" i="1" a="1"/>
  <c r="G4" i="1" a="1"/>
  <c r="D3" i="1" a="1"/>
  <c r="C7" i="1" a="1"/>
  <c r="C8" i="1" a="1"/>
  <c r="D8" i="1" a="1"/>
  <c r="E7" i="1" a="1"/>
  <c r="G8" i="1" a="1"/>
  <c r="E5" i="1" a="1"/>
  <c r="C5" i="1" a="1"/>
  <c r="F3" i="1" a="1"/>
  <c r="G3" i="1" a="1"/>
  <c r="G7" i="1" a="1"/>
  <c r="F5" i="1" a="1"/>
  <c r="B8" i="1" a="1"/>
  <c r="E8" i="1" a="1"/>
  <c r="D6" i="1" a="1"/>
  <c r="C6" i="1" a="1"/>
  <c r="F7" i="1" a="1"/>
  <c r="D5" i="1" a="1"/>
  <c r="F4" i="1" a="1"/>
  <c r="F4" i="1" l="1"/>
  <c r="D5" i="1"/>
  <c r="F7" i="1"/>
  <c r="C6" i="1"/>
  <c r="D6" i="1"/>
  <c r="E8" i="1"/>
  <c r="B8" i="1"/>
  <c r="F5" i="1"/>
  <c r="G7" i="1"/>
  <c r="G3" i="1"/>
  <c r="F3" i="1"/>
  <c r="C5" i="1"/>
  <c r="E5" i="1"/>
  <c r="G8" i="1"/>
  <c r="E7" i="1"/>
  <c r="D8" i="1"/>
  <c r="C8" i="1"/>
  <c r="C7" i="1"/>
  <c r="D3" i="1"/>
  <c r="G4" i="1"/>
  <c r="B3" i="1"/>
  <c r="E4" i="1"/>
  <c r="C3" i="1"/>
  <c r="G5" i="1"/>
  <c r="B6" i="1"/>
  <c r="G6" i="1"/>
  <c r="B7" i="1"/>
  <c r="E6" i="1"/>
  <c r="D7" i="1"/>
  <c r="F8" i="1"/>
  <c r="F6" i="1"/>
  <c r="C4" i="1"/>
  <c r="B4" i="1"/>
  <c r="E3" i="1"/>
  <c r="D4" i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<sst xmlns="http://schemas.openxmlformats.org/spreadsheetml/2006/main" count="19" uniqueCount="19">
  <si>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Solar</t>
  </si>
  <si>
    <t>Wind</t>
  </si>
  <si>
    <t>Nuclear</t>
  </si>
  <si>
    <t>Gas</t>
  </si>
  <si>
    <t>Coal</t>
  </si>
  <si>
    <t>Capital</t>
  </si>
  <si>
    <t>Fixed</t>
  </si>
  <si>
    <t>Variable</t>
  </si>
  <si>
    <t>Lifetime</t>
  </si>
  <si>
    <t>Max_PCT</t>
  </si>
  <si>
    <t>Generated from ..\Macro\Specs_Gen.xlsm</t>
  </si>
  <si>
    <t>Years</t>
  </si>
  <si>
    <t>MW(nrg)/MW(Total)</t>
  </si>
  <si>
    <t>M$/MW</t>
  </si>
  <si>
    <t>M$/(MW*Year)</t>
  </si>
  <si>
    <t>M$/MWh</t>
  </si>
  <si>
    <t>CO2_gen</t>
  </si>
  <si>
    <t>MTonnes/MWh</t>
  </si>
  <si>
    <t>Battery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</si>
</sst>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00"/>
    <numFmt numFmtId="166" formatCode="#,##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318407</xdr:colOff>
      <xdr:row>8</xdr:row>
      <xdr:rowOff>155121</xdr:rowOff>
    </xdr:from>
    <xdr:to>
      <xdr:col>3</xdr:col>
      <xdr:colOff>604157</xdr:colOff>
      <xdr:row>13</xdr:row>
      <xdr:rowOff>146956</xdr:rowOff>
    </xdr:to>
    <xdr:sp macro="[0]!Generate_CSV" textlink="">
      <xdr:nvSpPr>
        <xdr:cNvPr id="2" name="Oval 1">
          <a:extLst>
            <a:ext uri="{FF2B5EF4-FFF2-40B4-BE49-F238E27FC236}">
              <a16:creationId xmlns:a16="http://schemas.microsoft.com/office/drawing/2014/main" id="{0EC19E52-100D-A47A-7FC2-A50342C45CA9}"/>
            </a:ext>
          </a:extLst>
        </xdr:cNvPr>
        <xdr:cNvSpPr/>
      </xdr:nvSpPr>
      <xdr:spPr>
        <a:xfrm>
          <a:off x="1581150" y="1635578"/>
          <a:ext cx="917121" cy="917121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rIns="0" rtlCol="0" anchor="ctr" anchorCtr="0"/>
        <a:lstStyle/>
        <a:p>
          <a:pPr algn="l"/>
          <a:r>
            <a:rPr lang="en-US" sz="1100"/>
            <a:t>Generate</a:t>
          </a:r>
        </a:p>
        <a:p>
          <a:pPr algn="l"/>
          <a:r>
            <a:rPr lang="en-US" sz="1100"/>
            <a:t>   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6E27-0567-45DD-AF18-5C23B8EE0644}">
  <sheetPr codeName="Sheet1"/>
  <dimension ref="A1:H8"/>
  <sheetViews>
    <sheetView tabSelected="1" workbookViewId="0">
      <selection activeCell="F13" sqref="F13"/>
    </sheetView>
  </sheetViews>
  <sheetFormatPr defaultRowHeight="14.6" x14ac:dyDescent="0.85"/>
  <sheetData>
    <row r="1" spans="1:8" x14ac:dyDescent="0.85">
      <c r="B1" t="s">
        <v>10</v>
      </c>
    </row>
    <row r="2" spans="1:8" x14ac:dyDescent="0.8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18</v>
      </c>
    </row>
    <row r="3" spans="1:8" x14ac:dyDescent="0.85">
      <c r="A3" t="s">
        <v>5</v>
      </c>
      <c r="B3" s="3" cm="1">
        <f t="array" aca="1" ref="B3" ca="1">INDIRECT("prices_calc.xlsx!" &amp; $A3 &amp; "_" &amp; B$2)</f>
        <v>1.448</v>
      </c>
      <c r="C3" s="3" cm="1">
        <f t="array" aca="1" ref="C3" ca="1">INDIRECT("prices_calc.xlsx!" &amp; $A3 &amp; "_" &amp; C$2)</f>
        <v>2.0979999999999999</v>
      </c>
      <c r="D3" s="3" cm="1">
        <f t="array" aca="1" ref="D3" ca="1">INDIRECT("prices_calc.xlsx!" &amp; $A3 &amp; "_" &amp; D$2)</f>
        <v>7.7770000000000001</v>
      </c>
      <c r="E3" s="3" cm="1">
        <f t="array" aca="1" ref="E3" ca="1">INDIRECT("prices_calc.xlsx!" &amp; $A3 &amp; "_" &amp; E$2)</f>
        <v>1.33</v>
      </c>
      <c r="F3" s="3" cm="1">
        <f t="array" aca="1" ref="F3" ca="1">INDIRECT("prices_calc.xlsx!" &amp; $A3 &amp; "_" &amp; F$2)</f>
        <v>4.5069999999999997</v>
      </c>
      <c r="G3" s="3" cm="1">
        <f t="array" aca="1" ref="G3" ca="1">INDIRECT("prices_calc.xlsx!" &amp; $A3 &amp; "_" &amp; G$2)</f>
        <v>1.27</v>
      </c>
      <c r="H3" t="s">
        <v>13</v>
      </c>
    </row>
    <row r="4" spans="1:8" x14ac:dyDescent="0.85">
      <c r="A4" t="s">
        <v>6</v>
      </c>
      <c r="B4" s="4" cm="1">
        <f t="array" aca="1" ref="B4" ca="1">INDIRECT("prices_calc.xlsx!" &amp; $A4 &amp; "_" &amp; B$2)</f>
        <v>2.52434502E-2</v>
      </c>
      <c r="C4" s="4" cm="1">
        <f t="array" aca="1" ref="C4" ca="1">INDIRECT("prices_calc.xlsx!" &amp; $A4 &amp; "_" &amp; C$2)</f>
        <v>3.6887327999999997E-2</v>
      </c>
      <c r="D4" s="4" cm="1">
        <f t="array" aca="1" ref="D4" ca="1">INDIRECT("prices_calc.xlsx!" &amp; $A4 &amp; "_" &amp; D$2)</f>
        <v>0.13703887800000003</v>
      </c>
      <c r="E4" s="4" cm="1">
        <f t="array" aca="1" ref="E4" ca="1">INDIRECT("prices_calc.xlsx!" &amp; $A4 &amp; "_" &amp; E$2)</f>
        <v>2.1277711800000002E-2</v>
      </c>
      <c r="F4" s="4" cm="1">
        <f t="array" aca="1" ref="F4" ca="1">INDIRECT("prices_calc.xlsx!" &amp; $A4 &amp; "_" &amp; F$2)</f>
        <v>5.2902809999999995E-2</v>
      </c>
      <c r="G4" s="4" cm="1">
        <f t="array" aca="1" ref="G4" ca="1">INDIRECT("prices_calc.xlsx!" &amp; $A4 &amp; "_" &amp; G$2)</f>
        <v>4.5793584000000005E-2</v>
      </c>
      <c r="H4" t="s">
        <v>14</v>
      </c>
    </row>
    <row r="5" spans="1:8" x14ac:dyDescent="0.85">
      <c r="A5" t="s">
        <v>7</v>
      </c>
      <c r="B5" s="5" cm="1">
        <f t="array" aca="1" ref="B5" ca="1">INDIRECT("prices_calc.xlsx!" &amp; $A5 &amp; "_" &amp; B$2)</f>
        <v>0</v>
      </c>
      <c r="C5" s="5" cm="1">
        <f t="array" aca="1" ref="C5" ca="1">INDIRECT("prices_calc.xlsx!" &amp; $A5 &amp; "_" &amp; C$2)</f>
        <v>0</v>
      </c>
      <c r="D5" s="5" cm="1">
        <f t="array" aca="1" ref="D5" ca="1">INDIRECT("prices_calc.xlsx!" &amp; $A5 &amp; "_" &amp; D$2)</f>
        <v>1.011E-5</v>
      </c>
      <c r="E5" s="5" cm="1">
        <f t="array" aca="1" ref="E5" ca="1">INDIRECT("prices_calc.xlsx!" &amp; $A5 &amp; "_" &amp; E$2)</f>
        <v>2.44E-5</v>
      </c>
      <c r="F5" s="5" cm="1">
        <f t="array" aca="1" ref="F5" ca="1">INDIRECT("prices_calc.xlsx!" &amp; $A5 &amp; "_" &amp; F$2)</f>
        <v>2.3280000000000001E-5</v>
      </c>
      <c r="G5" s="1" cm="1">
        <f t="array" aca="1" ref="G5" ca="1">INDIRECT("prices_calc.xlsx!" &amp; $A5 &amp; "_" &amp; G$2)</f>
        <v>1.377E-5</v>
      </c>
      <c r="H5" t="s">
        <v>15</v>
      </c>
    </row>
    <row r="6" spans="1:8" x14ac:dyDescent="0.85">
      <c r="A6" t="s">
        <v>16</v>
      </c>
      <c r="B6" cm="1">
        <f t="array" aca="1" ref="B6" ca="1">INDIRECT("CO2_calc.xlsx!" &amp; $A6 &amp; "_" &amp; B$2)</f>
        <v>5.0000000000000001E-9</v>
      </c>
      <c r="C6" cm="1">
        <f t="array" aca="1" ref="C6" ca="1">INDIRECT("CO2_calc.xlsx!" &amp; $A6 &amp; "_" &amp; C$2)</f>
        <v>4.0000000000000002E-9</v>
      </c>
      <c r="D6" cm="1">
        <f t="array" aca="1" ref="D6" ca="1">INDIRECT("CO2_calc.xlsx!" &amp; $A6 &amp; "_" &amp; D$2)</f>
        <v>3E-9</v>
      </c>
      <c r="E6" cm="1">
        <f t="array" aca="1" ref="E6" ca="1">INDIRECT("CO2_calc.xlsx!" &amp; $A6 &amp; "_" &amp; E$2)</f>
        <v>4.8999999999999997E-7</v>
      </c>
      <c r="F6" cm="1">
        <f t="array" aca="1" ref="F6" ca="1">INDIRECT("CO2_calc.xlsx!" &amp; $A6 &amp; "_" &amp; F$2)</f>
        <v>8.1999999999999998E-7</v>
      </c>
      <c r="G6" cm="1">
        <f t="array" aca="1" ref="G6" ca="1">INDIRECT("CO2_calc.xlsx!" &amp; $A6 &amp; "_" &amp; G$2)</f>
        <v>1.1125000000000001E-7</v>
      </c>
      <c r="H6" t="s">
        <v>17</v>
      </c>
    </row>
    <row r="7" spans="1:8" x14ac:dyDescent="0.85">
      <c r="A7" t="s">
        <v>8</v>
      </c>
      <c r="B7" cm="1">
        <f t="array" aca="1" ref="B7" ca="1">INDIRECT("Lifetime_calc.xlsx!" &amp; $A7 &amp; "_" &amp; B$2)</f>
        <v>30</v>
      </c>
      <c r="C7" cm="1">
        <f t="array" aca="1" ref="C7" ca="1">INDIRECT("Lifetime_calc.xlsx!" &amp; $A7 &amp; "_" &amp; C$2)</f>
        <v>25</v>
      </c>
      <c r="D7" cm="1">
        <f t="array" aca="1" ref="D7" ca="1">INDIRECT("Lifetime_calc.xlsx!" &amp; $A7 &amp; "_" &amp; D$2)</f>
        <v>40</v>
      </c>
      <c r="E7" cm="1">
        <f t="array" aca="1" ref="E7" ca="1">INDIRECT("Lifetime_calc.xlsx!" &amp; $A7 &amp; "_" &amp; E$2)</f>
        <v>25</v>
      </c>
      <c r="F7" cm="1">
        <f t="array" aca="1" ref="F7" ca="1">INDIRECT("Lifetime_calc.xlsx!" &amp; $A7 &amp; "_" &amp; F$2)</f>
        <v>40</v>
      </c>
      <c r="G7" cm="1">
        <f t="array" aca="1" ref="G7" ca="1">INDIRECT("Lifetime_calc.xlsx!" &amp; $A7 &amp; "_" &amp; G$2)</f>
        <v>10</v>
      </c>
      <c r="H7" t="s">
        <v>11</v>
      </c>
    </row>
    <row r="8" spans="1:8" x14ac:dyDescent="0.85">
      <c r="A8" s="2" t="s">
        <v>9</v>
      </c>
      <c r="B8" s="2" cm="1">
        <f t="array" aca="1" ref="B8" ca="1">INDIRECT("max_PCT_calc.xlsx!" &amp; $A8 &amp; "_" &amp; B$2)</f>
        <v>1.7724568596928447E-2</v>
      </c>
      <c r="C8" s="2" cm="1">
        <f t="array" aca="1" ref="C8" ca="1">INDIRECT("max_PCT_calc.xlsx!" &amp; $A8 &amp; "_" &amp; C$2)</f>
        <v>2.5260825456903235E-2</v>
      </c>
      <c r="D8" s="2" cm="1">
        <f t="array" aca="1" ref="D8" ca="1">INDIRECT("max_PCT_calc.xlsx!" &amp; $A8 &amp; "_" &amp; D$2)</f>
        <v>2.7576163744319752E-2</v>
      </c>
      <c r="E8" s="2" cm="1">
        <f t="array" aca="1" ref="E8" ca="1">INDIRECT("max_PCT_calc.xlsx!" &amp; $A8 &amp; "_" &amp; E$2)</f>
        <v>4.883974059546433E-2</v>
      </c>
      <c r="F8" s="2" cm="1">
        <f t="array" aca="1" ref="F8" ca="1">INDIRECT("max_PCT_calc.xlsx!" &amp; $A8 &amp; "_" &amp; F$2)</f>
        <v>0.11718459327239937</v>
      </c>
      <c r="G8" s="2" cm="1">
        <f t="array" aca="1" ref="G8" ca="1">INDIRECT("max_PCT_calc.xlsx!" &amp; $A8 &amp; "_" &amp; G$2)</f>
        <v>1.7417039994762316E-2</v>
      </c>
      <c r="H8" t="s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CSV_Range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2023-12-11T19:13:40Z</dcterms:created>
  <dcterms:modified xsi:type="dcterms:W3CDTF">2024-04-05T21:21:57Z</dcterms:modified>
</cp:coreProperties>
</file>