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2290" documentId="13_ncr:1_{6D8078D3-1DD1-4376-BCD0-E9810E3F3BD3}" xr6:coauthVersionLast="47" xr6:coauthVersionMax="47" xr10:uidLastSave="{69CDDE9A-972D-42CE-80B0-043D628B9F2F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Inbox!$C$36</definedName>
    <definedName name="Battery_Fixed">Inbox!$C$37</definedName>
    <definedName name="Battery_Lifetime">Inbox!$C$38</definedName>
    <definedName name="Battery_Max_PCT">Inbox!$C$39</definedName>
    <definedName name="Battery_Variable">Inbox!$C$40</definedName>
    <definedName name="Check">Inbox!$I$5</definedName>
    <definedName name="CO2_Price">Inbox!$C$8</definedName>
    <definedName name="Coal_Capital">Inbox!$C$31</definedName>
    <definedName name="Coal_Fixed">Inbox!$C$32</definedName>
    <definedName name="Coal_Lifetime">Inbox!$C$33</definedName>
    <definedName name="Coal_Max_PCT">Inbox!$C$34</definedName>
    <definedName name="Coal_Variable">Inbox!$C$35</definedName>
    <definedName name="Command">Program!$A$1</definedName>
    <definedName name="Demand">Inbox!$C$10</definedName>
    <definedName name="Directory">Inbox!$B$4</definedName>
    <definedName name="Gas_Capital">Inbox!$C$26</definedName>
    <definedName name="Gas_Fixed">Inbox!$C$27</definedName>
    <definedName name="Gas_Lifetime">Inbox!$C$28</definedName>
    <definedName name="Gas_Max_PCT">Inbox!$C$29</definedName>
    <definedName name="Gas_Variable">Inbox!$C$30</definedName>
    <definedName name="Inbox_Initial_Default">Inbox!$E$7:$E$40</definedName>
    <definedName name="Inbox_Numbers">Inbox!$A$7:$A$40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Inbox!$C$21</definedName>
    <definedName name="Nuclear_Fixed">Inbox!$C$22</definedName>
    <definedName name="Nuclear_Lifetime">Inbox!$C$23</definedName>
    <definedName name="Nuclear_Max_PCT">Inbox!$C$24</definedName>
    <definedName name="Nuclear_Variable">Inbox!$C$25</definedName>
    <definedName name="One_Params">Inbox!$C$31:$D$45</definedName>
    <definedName name="Per_Year">Program!$C$1</definedName>
    <definedName name="Region">Inbox!$B$6</definedName>
    <definedName name="Regions">Program!$J$3:$J$15</definedName>
    <definedName name="Solar_Capital">Inbox!$C$11</definedName>
    <definedName name="Solar_Fixed">Inbox!$C$12</definedName>
    <definedName name="Solar_Lifetime">Inbox!$C$13</definedName>
    <definedName name="Solar_Max_PCT">Inbox!$C$14</definedName>
    <definedName name="Solar_Variable">Inbox!$C$15</definedName>
    <definedName name="Sub_Knob">Program!$E$20:$E$24</definedName>
    <definedName name="SubDir">Inbox!$B$5</definedName>
    <definedName name="Wind_Capital">Inbox!$C$16</definedName>
    <definedName name="Wind_Fixed">Inbox!$C$17</definedName>
    <definedName name="Wind_Lifetime">Inbox!$C$18</definedName>
    <definedName name="Wind_Max_PCT">Inbox!$C$19</definedName>
    <definedName name="Wind_Variable">Inbox!$C$20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<sst xmlns="http://schemas.openxmlformats.org/spreadsheetml/2006/main" count="224" uniqueCount="163">
  <si>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</si>
  <si>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</si>
  <si>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</si>
  <si>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</si>
  <si>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</si>
  <si>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</si>
  <si>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</si>
  <si>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</si>
  <si>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</si>
  <si>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</si>
  <si>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</si>
  <si>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</si>
  <si>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</si>
  <si>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</si>
  <si>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</si>
  <si>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</si>
  <si>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</si>
  <si>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</si>
  <si>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</si>
  <si>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</si>
  <si>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</si>
  <si>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</si>
  <si>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</si>
  <si>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</si>
  <si>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</si>
  <si>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</si>
  <si>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</si>
  <si>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</si>
  <si>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</si>
  <si>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</si>
  <si>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</si>
  <si>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</si>
  <si>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</si>
  <si>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</si>
  <si>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</si>
  <si>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</si>
  <si>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</si>
  <si>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</si>
  <si>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</si>
  <si>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</si>
  <si>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</si>
  <si>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</si>
  <si>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</si>
  <si>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</si>
  <si>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</si>
  <si>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</si>
  <si>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</si>
  <si>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</si>
  <si>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</si>
  <si>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</si>
  <si>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</si>
  <si>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</si>
  <si>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</si>
  <si>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</si>
  <si>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</si>
  <si>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</si>
  <si>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</si>
  <si>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</si>
  <si>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</si>
  <si>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</si>
  <si>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</si>
  <si>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</si>
  <si>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</si>
  <si>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</si>
  <si>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</si>
  <si>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</si>
  <si>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</si>
  <si>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</si>
  <si>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</si>
  <si>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</si>
  <si>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</si>
  <si>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</si>
  <si>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</si>
  <si>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</si>
  <si>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</si>
  <si>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</si>
  <si>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</si>
  <si>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</si>
  <si>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</si>
  <si>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</si>
  <si>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</si>
  <si>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</si>
  <si>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</si>
  <si>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</si>
  <si>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</si>
  <si>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</si>
  <si>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</si>
  <si>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</si>
  <si>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</si>
  <si>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</si>
  <si>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</si>
  <si>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</si>
  <si>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</si>
  <si>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</si>
  <si>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</si>
  <si>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</si>
  <si>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</si>
  <si>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</si>
  <si>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</si>
  <si>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</si>
  <si>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</si>
  <si>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</si>
  <si>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</si>
  <si>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</si>
  <si>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</si>
  <si>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</si>
  <si>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</si>
  <si>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</si>
  <si>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</si>
  <si>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</si>
  <si>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</si>
  <si>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</si>
  <si>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</si>
  <si>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</si>
  <si>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</si>
  <si>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</si>
  <si>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</si>
  <si>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</si>
  <si>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</si>
  <si>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</si>
  <si>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</si>
  <si>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</si>
  <si>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</si>
  <si>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</si>
  <si>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</si>
  <si>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</si>
  <si>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</si>
  <si>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</si>
  <si>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</si>
  <si>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</si>
  <si>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</si>
  <si>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</si>
  <si>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</si>
  <si>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</si>
  <si>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</si>
  <si>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</si>
  <si>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</si>
  <si>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</si>
  <si>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</si>
  <si>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</si>
  <si>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</si>
  <si>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</si>
  <si>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</si>
  <si>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</si>
  <si>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</si>
  <si>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</si>
  <si>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</si>
  <si>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</si>
  <si>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</si>
  <si>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</si>
  <si>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</si>
  <si>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</si>
  <si>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Storage_Capital</t>
  </si>
  <si>
    <t>Storage_Fixed</t>
  </si>
  <si>
    <t>Storage_Lifetime</t>
  </si>
  <si>
    <t>Storage_Max_PCT</t>
  </si>
  <si>
    <t>Storage_Variable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</si>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</sst>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7"/>
  <sheetViews>
    <sheetView tabSelected="1" workbookViewId="0">
      <pane ySplit="1" topLeftCell="A2" activePane="bottomLeft" state="frozen"/>
      <selection activeCell="B1" sqref="B1"/>
      <selection pane="bottomLeft" activeCell="A7" sqref="A7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145</v>
      </c>
      <c r="G1" s="35" t="s">
        <v>146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87</v>
      </c>
      <c r="J2" s="18" t="s">
        <v>78</v>
      </c>
    </row>
    <row r="3" spans="1:11" ht="14.65" x14ac:dyDescent="0.85">
      <c r="A3" s="10" t="s">
        <v>31</v>
      </c>
      <c r="B3" s="46" t="s">
        <v>78</v>
      </c>
      <c r="C3" s="47"/>
      <c r="E3" s="1" t="s">
        <v>85</v>
      </c>
      <c r="F3" s="2" t="s">
        <v>37</v>
      </c>
      <c r="G3" s="2" t="s">
        <v>37</v>
      </c>
      <c r="H3" s="3" t="s">
        <v>127</v>
      </c>
      <c r="J3" s="19" t="s">
        <v>1</v>
      </c>
    </row>
    <row r="4" spans="1:11" ht="14.65" x14ac:dyDescent="0.85">
      <c r="A4" s="10" t="s">
        <v>43</v>
      </c>
      <c r="B4" s="46" t="s">
        <v>151</v>
      </c>
      <c r="C4" s="47"/>
      <c r="E4" s="1" t="s">
        <v>43</v>
      </c>
      <c r="F4" s="2" t="s">
        <v>38</v>
      </c>
      <c r="G4" s="2" t="s">
        <v>37</v>
      </c>
      <c r="H4" s="3" t="s">
        <v>82</v>
      </c>
      <c r="J4" s="19" t="s">
        <v>2</v>
      </c>
    </row>
    <row r="5" spans="1:11" x14ac:dyDescent="0.85">
      <c r="A5" s="10" t="s">
        <v>90</v>
      </c>
      <c r="B5" s="46" t="s">
        <v>151</v>
      </c>
      <c r="C5" s="47"/>
      <c r="E5" s="63" t="s">
        <v>90</v>
      </c>
      <c r="F5" s="65" t="s">
        <v>38</v>
      </c>
      <c r="G5" s="65" t="s">
        <v>37</v>
      </c>
      <c r="H5" s="67" t="s">
        <v>88</v>
      </c>
      <c r="J5" s="19" t="s">
        <v>3</v>
      </c>
    </row>
    <row r="6" spans="1:11" x14ac:dyDescent="0.85">
      <c r="A6" s="10" t="s">
        <v>123</v>
      </c>
      <c r="B6" s="46"/>
      <c r="C6" s="47"/>
      <c r="E6" s="69"/>
      <c r="F6" s="70"/>
      <c r="G6" s="70"/>
      <c r="H6" s="71"/>
      <c r="J6" s="19" t="s">
        <v>4</v>
      </c>
    </row>
    <row r="7" spans="1:11" x14ac:dyDescent="0.85">
      <c r="A7" s="10"/>
      <c r="B7" s="46"/>
      <c r="C7" s="47"/>
      <c r="E7" s="63" t="s">
        <v>15</v>
      </c>
      <c r="F7" s="65" t="s">
        <v>77</v>
      </c>
      <c r="G7" s="65" t="s">
        <v>37</v>
      </c>
      <c r="H7" s="67" t="s">
        <v>86</v>
      </c>
      <c r="J7" s="19" t="s">
        <v>5</v>
      </c>
    </row>
    <row r="8" spans="1:11" x14ac:dyDescent="0.85">
      <c r="A8" s="10"/>
      <c r="B8" s="46"/>
      <c r="C8" s="47"/>
      <c r="E8" s="69"/>
      <c r="F8" s="70"/>
      <c r="G8" s="70"/>
      <c r="H8" s="71"/>
      <c r="J8" s="19" t="s">
        <v>6</v>
      </c>
    </row>
    <row r="9" spans="1:11" x14ac:dyDescent="0.85">
      <c r="A9" s="10"/>
      <c r="B9" s="46"/>
      <c r="C9" s="47"/>
      <c r="E9" s="63" t="s">
        <v>123</v>
      </c>
      <c r="F9" s="65" t="s">
        <v>124</v>
      </c>
      <c r="G9" s="65" t="s">
        <v>37</v>
      </c>
      <c r="H9" s="67" t="s">
        <v>144</v>
      </c>
      <c r="J9" s="19" t="s">
        <v>7</v>
      </c>
    </row>
    <row r="10" spans="1:11" x14ac:dyDescent="0.85">
      <c r="A10" s="10"/>
      <c r="B10" s="46"/>
      <c r="C10" s="47"/>
      <c r="E10" s="69"/>
      <c r="F10" s="70"/>
      <c r="G10" s="70"/>
      <c r="H10" s="71"/>
      <c r="J10" s="19" t="s">
        <v>8</v>
      </c>
    </row>
    <row r="11" spans="1:11" ht="14.65" customHeight="1" x14ac:dyDescent="0.85">
      <c r="A11" s="10"/>
      <c r="B11" s="46"/>
      <c r="C11" s="47"/>
      <c r="E11" s="1" t="s">
        <v>18</v>
      </c>
      <c r="F11" s="2" t="s">
        <v>37</v>
      </c>
      <c r="G11" s="2" t="s">
        <v>37</v>
      </c>
      <c r="H11" s="3" t="s">
        <v>19</v>
      </c>
      <c r="J11" s="19" t="s">
        <v>9</v>
      </c>
    </row>
    <row r="12" spans="1:11" ht="14.65" x14ac:dyDescent="0.85">
      <c r="A12" s="10"/>
      <c r="B12" s="46"/>
      <c r="C12" s="47"/>
      <c r="E12" s="1" t="s">
        <v>44</v>
      </c>
      <c r="F12" s="2" t="s">
        <v>52</v>
      </c>
      <c r="G12" s="4" t="s">
        <v>53</v>
      </c>
      <c r="H12" s="3"/>
      <c r="J12" s="19" t="s">
        <v>10</v>
      </c>
    </row>
    <row r="13" spans="1:11" x14ac:dyDescent="0.85">
      <c r="A13" s="10"/>
      <c r="B13" s="46"/>
      <c r="C13" s="47"/>
      <c r="E13" s="63" t="s">
        <v>36</v>
      </c>
      <c r="F13" s="65" t="s">
        <v>41</v>
      </c>
      <c r="G13" s="65" t="s">
        <v>148</v>
      </c>
      <c r="H13" s="67" t="s">
        <v>149</v>
      </c>
      <c r="J13" s="19" t="s">
        <v>11</v>
      </c>
    </row>
    <row r="14" spans="1:11" x14ac:dyDescent="0.85">
      <c r="A14" s="10"/>
      <c r="B14" s="46"/>
      <c r="C14" s="47"/>
      <c r="D14" t="s">
        <v>89</v>
      </c>
      <c r="E14" s="69"/>
      <c r="F14" s="70"/>
      <c r="G14" s="70"/>
      <c r="H14" s="71"/>
      <c r="J14" s="19" t="s">
        <v>12</v>
      </c>
    </row>
    <row r="15" spans="1:11" ht="15.4" customHeight="1" thickBot="1" x14ac:dyDescent="1">
      <c r="A15" s="10"/>
      <c r="B15" s="46"/>
      <c r="C15" s="47"/>
      <c r="E15" s="24" t="s">
        <v>46</v>
      </c>
      <c r="F15" s="25" t="s">
        <v>47</v>
      </c>
      <c r="G15" s="25" t="s">
        <v>37</v>
      </c>
      <c r="H15" s="26" t="s">
        <v>50</v>
      </c>
      <c r="J15" s="20" t="s">
        <v>13</v>
      </c>
    </row>
    <row r="16" spans="1:11" ht="14.65" x14ac:dyDescent="0.85">
      <c r="A16" s="10"/>
      <c r="B16" s="46"/>
      <c r="C16" s="47"/>
      <c r="E16" s="53" t="s">
        <v>33</v>
      </c>
      <c r="F16" s="54"/>
      <c r="G16" s="54" t="s">
        <v>37</v>
      </c>
      <c r="H16" s="55" t="s">
        <v>150</v>
      </c>
      <c r="J16" s="5"/>
    </row>
    <row r="17" spans="1:8" ht="14.65" customHeight="1" x14ac:dyDescent="0.85">
      <c r="A17" s="10"/>
      <c r="B17" s="46"/>
      <c r="C17" s="47"/>
      <c r="E17" s="63" t="s">
        <v>91</v>
      </c>
      <c r="F17" s="65" t="s">
        <v>37</v>
      </c>
      <c r="G17" s="65" t="s">
        <v>37</v>
      </c>
      <c r="H17" s="67" t="s">
        <v>92</v>
      </c>
    </row>
    <row r="18" spans="1:8" ht="15.25" thickBot="1" x14ac:dyDescent="1">
      <c r="A18" s="10"/>
      <c r="B18" s="46"/>
      <c r="C18" s="47"/>
      <c r="E18" s="64"/>
      <c r="F18" s="66"/>
      <c r="G18" s="66"/>
      <c r="H18" s="68"/>
    </row>
    <row r="19" spans="1:8" ht="15.3" thickBot="1" x14ac:dyDescent="1">
      <c r="A19" s="10"/>
      <c r="B19" s="46"/>
      <c r="C19" s="47"/>
      <c r="E19" s="56" t="s">
        <v>162</v>
      </c>
      <c r="F19" s="57"/>
      <c r="G19" s="58"/>
      <c r="H19" s="59"/>
    </row>
    <row r="20" spans="1:8" x14ac:dyDescent="0.85">
      <c r="A20" s="10"/>
      <c r="B20" s="46"/>
      <c r="C20" s="47"/>
      <c r="E20" s="15" t="s">
        <v>57</v>
      </c>
      <c r="F20" s="60" t="s">
        <v>41</v>
      </c>
      <c r="G20" s="60" t="s">
        <v>41</v>
      </c>
      <c r="H20" s="16" t="s">
        <v>54</v>
      </c>
    </row>
    <row r="21" spans="1:8" x14ac:dyDescent="0.85">
      <c r="A21" s="10"/>
      <c r="B21" s="46"/>
      <c r="C21" s="47"/>
      <c r="E21" s="1" t="s">
        <v>48</v>
      </c>
      <c r="F21" s="61"/>
      <c r="G21" s="61"/>
      <c r="H21" s="3" t="s">
        <v>55</v>
      </c>
    </row>
    <row r="22" spans="1:8" x14ac:dyDescent="0.85">
      <c r="A22" s="10"/>
      <c r="B22" s="46"/>
      <c r="C22" s="47"/>
      <c r="E22" s="1" t="s">
        <v>49</v>
      </c>
      <c r="F22" s="61"/>
      <c r="G22" s="61"/>
      <c r="H22" s="3" t="s">
        <v>56</v>
      </c>
    </row>
    <row r="23" spans="1:8" x14ac:dyDescent="0.85">
      <c r="A23" s="10"/>
      <c r="B23" s="46"/>
      <c r="C23" s="47"/>
      <c r="E23" s="1" t="s">
        <v>63</v>
      </c>
      <c r="F23" s="61"/>
      <c r="G23" s="61"/>
      <c r="H23" s="3" t="s">
        <v>64</v>
      </c>
    </row>
    <row r="24" spans="1:8" ht="15.25" thickBot="1" x14ac:dyDescent="1">
      <c r="A24" s="10"/>
      <c r="B24" s="46"/>
      <c r="C24" s="47"/>
      <c r="E24" s="17" t="s">
        <v>66</v>
      </c>
      <c r="F24" s="62"/>
      <c r="G24" s="62"/>
      <c r="H24" s="14" t="s">
        <v>65</v>
      </c>
    </row>
    <row r="25" spans="1:8" x14ac:dyDescent="0.85">
      <c r="A25" s="10"/>
      <c r="B25" s="46"/>
      <c r="C25" s="47"/>
    </row>
    <row r="26" spans="1:8" x14ac:dyDescent="0.85">
      <c r="A26" s="10"/>
      <c r="B26" s="46"/>
      <c r="C26" s="47"/>
    </row>
    <row r="27" spans="1:8" ht="15.25" thickBot="1" x14ac:dyDescent="1">
      <c r="A27" s="11"/>
      <c r="B27" s="48"/>
      <c r="C27" s="49"/>
    </row>
  </sheetData>
  <mergeCells count="23">
    <mergeCell ref="E9:E10"/>
    <mergeCell ref="F9:F10"/>
    <mergeCell ref="G9:G10"/>
    <mergeCell ref="H9:H10"/>
    <mergeCell ref="E13:E14"/>
    <mergeCell ref="F13:F14"/>
    <mergeCell ref="G13:G14"/>
    <mergeCell ref="H13:H14"/>
    <mergeCell ref="E5:E6"/>
    <mergeCell ref="F5:F6"/>
    <mergeCell ref="G5:G6"/>
    <mergeCell ref="H5:H6"/>
    <mergeCell ref="E7:E8"/>
    <mergeCell ref="F7:F8"/>
    <mergeCell ref="G7:G8"/>
    <mergeCell ref="H7:H8"/>
    <mergeCell ref="E19:H19"/>
    <mergeCell ref="F20:F24"/>
    <mergeCell ref="G20:G24"/>
    <mergeCell ref="E17:E18"/>
    <mergeCell ref="F17:F18"/>
    <mergeCell ref="G17:G18"/>
    <mergeCell ref="H17:H18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129</v>
      </c>
      <c r="E1" s="28" t="s">
        <v>130</v>
      </c>
      <c r="F1" s="28" t="s">
        <v>131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143</v>
      </c>
    </row>
    <row r="3" spans="1:7" ht="14.65" x14ac:dyDescent="0.85">
      <c r="A3" s="27" t="s">
        <v>85</v>
      </c>
      <c r="B3" s="44"/>
      <c r="C3" s="45"/>
      <c r="D3" s="29"/>
      <c r="E3" s="29"/>
      <c r="F3" s="29"/>
      <c r="G3" t="s">
        <v>132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134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133</v>
      </c>
    </row>
    <row r="6" spans="1:7" ht="14.65" x14ac:dyDescent="0.85">
      <c r="A6" s="10" t="s">
        <v>43</v>
      </c>
      <c r="B6" s="46" t="s">
        <v>125</v>
      </c>
      <c r="C6" s="47"/>
      <c r="D6" s="29"/>
      <c r="E6" s="29"/>
      <c r="F6" s="29"/>
      <c r="G6" t="s">
        <v>135</v>
      </c>
    </row>
    <row r="7" spans="1:7" ht="14.65" x14ac:dyDescent="0.85">
      <c r="A7" s="10" t="s">
        <v>90</v>
      </c>
      <c r="B7" s="46" t="s">
        <v>126</v>
      </c>
      <c r="C7" s="47"/>
      <c r="D7" s="29"/>
      <c r="E7" s="29"/>
      <c r="F7" s="29"/>
      <c r="G7" t="s">
        <v>136</v>
      </c>
    </row>
    <row r="8" spans="1:7" ht="14.65" x14ac:dyDescent="0.85">
      <c r="A8" s="10" t="s">
        <v>122</v>
      </c>
      <c r="B8" s="46" t="s">
        <v>128</v>
      </c>
      <c r="C8" s="47"/>
      <c r="D8" s="29"/>
      <c r="E8" s="29"/>
      <c r="F8" s="29"/>
      <c r="G8" t="s">
        <v>137</v>
      </c>
    </row>
    <row r="9" spans="1:7" ht="14.65" x14ac:dyDescent="0.85">
      <c r="A9" s="10" t="s">
        <v>72</v>
      </c>
      <c r="B9" s="46">
        <v>2</v>
      </c>
      <c r="C9" s="47"/>
      <c r="D9" s="30" t="s">
        <v>141</v>
      </c>
      <c r="E9" s="30" t="s">
        <v>141</v>
      </c>
      <c r="F9" s="30" t="s">
        <v>141</v>
      </c>
      <c r="G9" t="s">
        <v>138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139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140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147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142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3"/>
  <sheetViews>
    <sheetView workbookViewId="0">
      <selection activeCell="B6" sqref="B6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83</v>
      </c>
      <c r="F1" s="23" t="s">
        <v>84</v>
      </c>
      <c r="G1" s="23" t="s">
        <v>93</v>
      </c>
    </row>
    <row r="2" spans="1:9" ht="14.65" x14ac:dyDescent="0.85">
      <c r="A2" t="s">
        <v>80</v>
      </c>
      <c r="B2" s="22">
        <f ca="1">TODAY()</f>
        <v>45865</v>
      </c>
      <c r="G2" t="s">
        <v>80</v>
      </c>
    </row>
    <row r="3" spans="1:9" ht="14.65" x14ac:dyDescent="0.85">
      <c r="A3" t="s">
        <v>81</v>
      </c>
      <c r="B3" s="21">
        <f ca="1">NOW()</f>
        <v>45865.702614351852</v>
      </c>
      <c r="G3" t="s">
        <v>81</v>
      </c>
    </row>
    <row r="4" spans="1:9" ht="14.65" x14ac:dyDescent="0.85">
      <c r="A4" t="s">
        <v>43</v>
      </c>
      <c r="B4" s="8" t="s">
        <v>151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90</v>
      </c>
      <c r="B5" s="8" t="s">
        <v>151</v>
      </c>
      <c r="C5" s="8"/>
      <c r="D5" s="8"/>
      <c r="E5" s="8"/>
      <c r="F5" s="8"/>
      <c r="G5" t="s">
        <v>90</v>
      </c>
      <c r="I5" t="str" cm="1">
        <f t="array" ref="I5">IF(AND(LEN(Directory)&gt;0,LEN(SubDir)&gt;0,LEN(Region)&gt;0,ISNUMBER(C8:C40),ISNUMBER(D8:D40), Years &gt; 0), "OK", "Missing Data")</f>
        <v>OK</v>
      </c>
    </row>
    <row r="6" spans="1:9" ht="14.65" x14ac:dyDescent="0.85">
      <c r="A6" t="s">
        <v>31</v>
      </c>
      <c r="B6" s="8" t="s">
        <v>78</v>
      </c>
      <c r="C6" s="8"/>
      <c r="D6" s="8"/>
      <c r="E6" s="8"/>
      <c r="F6" s="8"/>
      <c r="G6" t="s">
        <v>31</v>
      </c>
    </row>
    <row r="7" spans="1:9" ht="14.65" x14ac:dyDescent="0.8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ht="14.65" x14ac:dyDescent="0.85">
      <c r="A8" t="s">
        <v>44</v>
      </c>
      <c r="B8" s="8"/>
      <c r="C8" s="8">
        <v>40</v>
      </c>
      <c r="D8" s="8">
        <v>40</v>
      </c>
      <c r="E8" s="8">
        <v>0</v>
      </c>
      <c r="F8" s="8">
        <v>0</v>
      </c>
      <c r="G8" t="s">
        <v>94</v>
      </c>
    </row>
    <row r="9" spans="1:9" ht="14.65" x14ac:dyDescent="0.8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120</v>
      </c>
    </row>
    <row r="10" spans="1:9" ht="14.65" x14ac:dyDescent="0.85">
      <c r="A10" t="s">
        <v>36</v>
      </c>
      <c r="B10" s="8"/>
      <c r="C10" s="8">
        <v>1.02</v>
      </c>
      <c r="D10" s="8">
        <v>1</v>
      </c>
      <c r="E10" s="8">
        <v>1.02</v>
      </c>
      <c r="F10" s="8">
        <v>1</v>
      </c>
      <c r="G10" t="s">
        <v>121</v>
      </c>
    </row>
    <row r="11" spans="1:9" ht="14.65" x14ac:dyDescent="0.85">
      <c r="A11" t="s">
        <v>67</v>
      </c>
      <c r="C11">
        <v>1</v>
      </c>
      <c r="D11" s="8">
        <v>1</v>
      </c>
      <c r="E11">
        <v>1</v>
      </c>
      <c r="F11" s="8">
        <v>1</v>
      </c>
      <c r="G11" t="s">
        <v>97</v>
      </c>
    </row>
    <row r="12" spans="1:9" ht="14.65" x14ac:dyDescent="0.85">
      <c r="A12" t="s">
        <v>20</v>
      </c>
      <c r="C12">
        <v>1</v>
      </c>
      <c r="D12" s="8">
        <v>1</v>
      </c>
      <c r="E12">
        <v>1</v>
      </c>
      <c r="F12" s="8">
        <v>1</v>
      </c>
      <c r="G12" t="s">
        <v>101</v>
      </c>
    </row>
    <row r="13" spans="1:9" ht="14.65" x14ac:dyDescent="0.85">
      <c r="A13" t="s">
        <v>58</v>
      </c>
      <c r="C13">
        <v>1</v>
      </c>
      <c r="D13" s="8">
        <v>1</v>
      </c>
      <c r="E13">
        <v>1</v>
      </c>
      <c r="F13" s="8">
        <v>1</v>
      </c>
      <c r="G13" t="s">
        <v>105</v>
      </c>
    </row>
    <row r="14" spans="1:9" ht="14.65" x14ac:dyDescent="0.85">
      <c r="A14" t="s">
        <v>72</v>
      </c>
      <c r="C14">
        <v>1</v>
      </c>
      <c r="D14" s="8">
        <v>1</v>
      </c>
      <c r="E14">
        <v>1</v>
      </c>
      <c r="F14" s="8">
        <v>1</v>
      </c>
      <c r="G14" t="s">
        <v>109</v>
      </c>
    </row>
    <row r="15" spans="1:9" ht="14.65" x14ac:dyDescent="0.85">
      <c r="A15" t="s">
        <v>25</v>
      </c>
      <c r="C15">
        <v>1</v>
      </c>
      <c r="D15" s="8">
        <v>1</v>
      </c>
      <c r="E15">
        <v>1</v>
      </c>
      <c r="F15" s="8">
        <v>1</v>
      </c>
      <c r="G15" t="s">
        <v>113</v>
      </c>
    </row>
    <row r="16" spans="1:9" ht="14.65" x14ac:dyDescent="0.85">
      <c r="A16" t="s">
        <v>68</v>
      </c>
      <c r="C16">
        <v>1</v>
      </c>
      <c r="D16" s="8">
        <v>1</v>
      </c>
      <c r="E16">
        <v>1</v>
      </c>
      <c r="F16" s="8">
        <v>1</v>
      </c>
      <c r="G16" t="s">
        <v>98</v>
      </c>
    </row>
    <row r="17" spans="1:7" ht="14.65" x14ac:dyDescent="0.85">
      <c r="A17" t="s">
        <v>21</v>
      </c>
      <c r="C17">
        <v>1</v>
      </c>
      <c r="D17" s="8">
        <v>1</v>
      </c>
      <c r="E17">
        <v>1</v>
      </c>
      <c r="F17" s="8">
        <v>1</v>
      </c>
      <c r="G17" t="s">
        <v>102</v>
      </c>
    </row>
    <row r="18" spans="1:7" ht="14.65" x14ac:dyDescent="0.85">
      <c r="A18" t="s">
        <v>59</v>
      </c>
      <c r="C18">
        <v>1</v>
      </c>
      <c r="D18" s="8">
        <v>1</v>
      </c>
      <c r="E18">
        <v>1</v>
      </c>
      <c r="F18" s="8">
        <v>1</v>
      </c>
      <c r="G18" t="s">
        <v>106</v>
      </c>
    </row>
    <row r="19" spans="1:7" ht="14.65" x14ac:dyDescent="0.85">
      <c r="A19" t="s">
        <v>73</v>
      </c>
      <c r="C19">
        <v>1</v>
      </c>
      <c r="D19" s="8">
        <v>1</v>
      </c>
      <c r="E19">
        <v>1</v>
      </c>
      <c r="F19" s="8">
        <v>1</v>
      </c>
      <c r="G19" t="s">
        <v>110</v>
      </c>
    </row>
    <row r="20" spans="1:7" ht="14.65" x14ac:dyDescent="0.85">
      <c r="A20" t="s">
        <v>26</v>
      </c>
      <c r="C20">
        <v>1</v>
      </c>
      <c r="D20" s="8">
        <v>1</v>
      </c>
      <c r="E20">
        <v>1</v>
      </c>
      <c r="F20" s="8">
        <v>1</v>
      </c>
      <c r="G20" t="s">
        <v>114</v>
      </c>
    </row>
    <row r="21" spans="1:7" x14ac:dyDescent="0.85">
      <c r="A21" t="s">
        <v>69</v>
      </c>
      <c r="C21">
        <v>1</v>
      </c>
      <c r="D21" s="8">
        <v>1</v>
      </c>
      <c r="E21">
        <v>1</v>
      </c>
      <c r="F21" s="8">
        <v>1</v>
      </c>
      <c r="G21" t="s">
        <v>115</v>
      </c>
    </row>
    <row r="22" spans="1:7" x14ac:dyDescent="0.85">
      <c r="A22" t="s">
        <v>22</v>
      </c>
      <c r="C22">
        <v>1</v>
      </c>
      <c r="D22" s="8">
        <v>1</v>
      </c>
      <c r="E22">
        <v>1</v>
      </c>
      <c r="F22" s="8">
        <v>1</v>
      </c>
      <c r="G22" t="s">
        <v>116</v>
      </c>
    </row>
    <row r="23" spans="1:7" x14ac:dyDescent="0.85">
      <c r="A23" t="s">
        <v>60</v>
      </c>
      <c r="C23">
        <v>1</v>
      </c>
      <c r="D23" s="8">
        <v>1</v>
      </c>
      <c r="E23">
        <v>1</v>
      </c>
      <c r="F23" s="8">
        <v>1</v>
      </c>
      <c r="G23" t="s">
        <v>117</v>
      </c>
    </row>
    <row r="24" spans="1:7" x14ac:dyDescent="0.85">
      <c r="A24" t="s">
        <v>74</v>
      </c>
      <c r="C24">
        <v>1</v>
      </c>
      <c r="D24" s="8">
        <v>1</v>
      </c>
      <c r="E24">
        <v>1</v>
      </c>
      <c r="F24" s="8">
        <v>1</v>
      </c>
      <c r="G24" t="s">
        <v>118</v>
      </c>
    </row>
    <row r="25" spans="1:7" x14ac:dyDescent="0.85">
      <c r="A25" t="s">
        <v>27</v>
      </c>
      <c r="C25">
        <v>1</v>
      </c>
      <c r="D25" s="8">
        <v>1</v>
      </c>
      <c r="E25">
        <v>1</v>
      </c>
      <c r="F25" s="8">
        <v>1</v>
      </c>
      <c r="G25" t="s">
        <v>119</v>
      </c>
    </row>
    <row r="26" spans="1:7" x14ac:dyDescent="0.85">
      <c r="A26" t="s">
        <v>70</v>
      </c>
      <c r="C26">
        <v>1</v>
      </c>
      <c r="D26" s="8">
        <v>1</v>
      </c>
      <c r="E26">
        <v>1</v>
      </c>
      <c r="F26" s="8">
        <v>1</v>
      </c>
      <c r="G26" t="s">
        <v>96</v>
      </c>
    </row>
    <row r="27" spans="1:7" x14ac:dyDescent="0.85">
      <c r="A27" t="s">
        <v>23</v>
      </c>
      <c r="C27">
        <v>1</v>
      </c>
      <c r="D27" s="8">
        <v>1</v>
      </c>
      <c r="E27">
        <v>1</v>
      </c>
      <c r="F27" s="8">
        <v>1</v>
      </c>
      <c r="G27" t="s">
        <v>99</v>
      </c>
    </row>
    <row r="28" spans="1:7" x14ac:dyDescent="0.85">
      <c r="A28" t="s">
        <v>61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75</v>
      </c>
      <c r="C29">
        <v>1</v>
      </c>
      <c r="D29" s="8">
        <v>1</v>
      </c>
      <c r="E29">
        <v>1</v>
      </c>
      <c r="F29" s="8">
        <v>1</v>
      </c>
      <c r="G29" t="s">
        <v>108</v>
      </c>
    </row>
    <row r="30" spans="1:7" x14ac:dyDescent="0.85">
      <c r="A30" t="s">
        <v>28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71</v>
      </c>
      <c r="C31">
        <v>1</v>
      </c>
      <c r="D31" s="8">
        <v>1</v>
      </c>
      <c r="E31">
        <v>1</v>
      </c>
      <c r="F31" s="8">
        <v>1</v>
      </c>
      <c r="G31" t="s">
        <v>95</v>
      </c>
    </row>
    <row r="32" spans="1:7" x14ac:dyDescent="0.85">
      <c r="A32" t="s">
        <v>24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62</v>
      </c>
      <c r="C33">
        <v>1</v>
      </c>
      <c r="D33" s="8">
        <v>1</v>
      </c>
      <c r="E33">
        <v>1</v>
      </c>
      <c r="F33" s="8">
        <v>1</v>
      </c>
      <c r="G33" t="s">
        <v>103</v>
      </c>
    </row>
    <row r="34" spans="1:7" x14ac:dyDescent="0.85">
      <c r="A34" t="s">
        <v>76</v>
      </c>
      <c r="C34">
        <v>1</v>
      </c>
      <c r="D34" s="8">
        <v>1</v>
      </c>
      <c r="E34">
        <v>1</v>
      </c>
      <c r="F34" s="8">
        <v>1</v>
      </c>
      <c r="G34" t="s">
        <v>107</v>
      </c>
    </row>
    <row r="35" spans="1:7" x14ac:dyDescent="0.85">
      <c r="A35" t="s">
        <v>29</v>
      </c>
      <c r="C35">
        <v>1</v>
      </c>
      <c r="D35" s="8">
        <v>1</v>
      </c>
      <c r="E35">
        <v>1</v>
      </c>
      <c r="F35" s="8">
        <v>1</v>
      </c>
      <c r="G35" t="s">
        <v>111</v>
      </c>
    </row>
    <row r="36" spans="1:7" x14ac:dyDescent="0.85">
      <c r="A36" t="s">
        <v>152</v>
      </c>
      <c r="C36">
        <v>1</v>
      </c>
      <c r="D36" s="8">
        <v>1</v>
      </c>
      <c r="E36">
        <v>1</v>
      </c>
      <c r="F36" s="8">
        <v>1</v>
      </c>
      <c r="G36" t="s">
        <v>158</v>
      </c>
    </row>
    <row r="37" spans="1:7" x14ac:dyDescent="0.85">
      <c r="A37" t="s">
        <v>153</v>
      </c>
      <c r="C37">
        <v>1</v>
      </c>
      <c r="D37" s="8">
        <v>1</v>
      </c>
      <c r="E37">
        <v>1</v>
      </c>
      <c r="F37" s="8">
        <v>1</v>
      </c>
      <c r="G37" t="s">
        <v>159</v>
      </c>
    </row>
    <row r="38" spans="1:7" x14ac:dyDescent="0.85">
      <c r="A38" t="s">
        <v>154</v>
      </c>
      <c r="C38">
        <v>1</v>
      </c>
      <c r="D38" s="8">
        <v>1</v>
      </c>
      <c r="E38">
        <v>1</v>
      </c>
      <c r="F38" s="8">
        <v>1</v>
      </c>
      <c r="G38" t="s">
        <v>160</v>
      </c>
    </row>
    <row r="39" spans="1:7" x14ac:dyDescent="0.85">
      <c r="A39" t="s">
        <v>155</v>
      </c>
      <c r="C39">
        <v>1</v>
      </c>
      <c r="D39" s="8">
        <v>1</v>
      </c>
      <c r="E39">
        <v>1</v>
      </c>
      <c r="F39" s="8">
        <v>1</v>
      </c>
      <c r="G39" t="s">
        <v>161</v>
      </c>
    </row>
    <row r="40" spans="1:7" x14ac:dyDescent="0.85">
      <c r="A40" t="s">
        <v>156</v>
      </c>
      <c r="C40">
        <v>1</v>
      </c>
      <c r="D40" s="8">
        <v>1</v>
      </c>
      <c r="E40">
        <v>1</v>
      </c>
      <c r="F40" s="8">
        <v>1</v>
      </c>
      <c r="G40" t="s">
        <v>157</v>
      </c>
    </row>
    <row r="46" spans="1:7" x14ac:dyDescent="0.85">
      <c r="B46" s="8"/>
      <c r="C46" s="8"/>
      <c r="D46" s="8"/>
      <c r="E46" s="8"/>
      <c r="F46" s="8"/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</sheetData>
  <sortState xmlns:xlrd2="http://schemas.microsoft.com/office/spreadsheetml/2017/richdata2" ref="A36:G45">
    <sortCondition ref="A36:A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2025-07-28T00:52:00Z</dcterms:modified>
</cp:coreProperties>
</file>