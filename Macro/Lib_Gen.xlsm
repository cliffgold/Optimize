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B14A00DC-454E-4CE4-A1EC-D89D7E45D15E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Inbox!$C$34</definedName>
    <definedName name="Battery_Fixed">Inbox!$C$35</definedName>
    <definedName name="Battery_Lifetime">Inbox!$C$36</definedName>
    <definedName name="Battery_Max_PCT">Inbox!$C$37</definedName>
    <definedName name="Battery_Variable">Inbox!$C$38</definedName>
    <definedName name="Check">Inbox!$K$5</definedName>
    <definedName name="CO2_Price">Inbox!$C$9</definedName>
    <definedName name="Coal_Capital">Inbox!$C$14</definedName>
    <definedName name="Coal_Fixed">Inbox!$C$15</definedName>
    <definedName name="Coal_Lifetime">Inbox!$C$16</definedName>
    <definedName name="Coal_Max_PCT">Inbox!$C$17</definedName>
    <definedName name="Coal_Variable">Inbox!$C$18</definedName>
    <definedName name="Command">Program!$A$1</definedName>
    <definedName name="Demand">Inbox!$C$13</definedName>
    <definedName name="Directory">Inbox!$B$4</definedName>
    <definedName name="Gas_Capital">Inbox!$C$19</definedName>
    <definedName name="Gas_Fixed">Inbox!$C$20</definedName>
    <definedName name="Gas_Lifetime">Inbox!$C$21</definedName>
    <definedName name="Gas_Max_PCT">Inbox!$C$22</definedName>
    <definedName name="Gas_Variable">Inbox!$C$23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Inbox!$C$14:$D$43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Inbox!$C$29</definedName>
    <definedName name="Solar_Fixed">Inbox!$C$30</definedName>
    <definedName name="Solar_Lifetime">Inbox!$C$31</definedName>
    <definedName name="Solar_Max_PCT">Inbox!$C$32</definedName>
    <definedName name="Solar_Variable">Inbox!$C$33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Inbox!$C$39</definedName>
    <definedName name="Wind_Fixed">Inbox!$C$40</definedName>
    <definedName name="Wind_Lifetime">Inbox!$C$41</definedName>
    <definedName name="Wind_Max_PCT">Inbox!$C$42</definedName>
    <definedName name="Wind_Variable">Inbox!$C$43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3" l="1" a="1"/>
  <c r="K5" i="3" s="1"/>
  <c r="B2" i="3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<sst xmlns="http://schemas.openxmlformats.org/spreadsheetml/2006/main" count="227" uniqueCount="168">
  <si>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</si>
  <si>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</si>
  <si>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</si>
  <si>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</si>
  <si>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</si>
  <si>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</si>
  <si>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</si>
  <si>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</si>
  <si>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</si>
  <si>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</si>
  <si>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</si>
  <si>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</si>
  <si>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</si>
  <si>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</si>
  <si>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</si>
  <si>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</si>
  <si>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</si>
  <si>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</si>
  <si>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</si>
  <si>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</si>
  <si>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</si>
  <si>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</si>
  <si>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</si>
  <si>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</si>
  <si>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</si>
  <si>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</si>
  <si>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</si>
  <si>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</si>
  <si>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</si>
  <si>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</si>
  <si>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</si>
  <si>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</si>
  <si>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</si>
  <si>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</si>
  <si>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</si>
  <si>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</si>
  <si>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</si>
  <si>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</si>
  <si>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</si>
  <si>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</si>
  <si>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</si>
  <si>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</si>
  <si>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</si>
  <si>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</si>
  <si>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</si>
  <si>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</si>
  <si>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</si>
  <si>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</si>
  <si>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</si>
  <si>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</si>
  <si>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</si>
  <si>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</si>
  <si>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</si>
  <si>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</si>
  <si>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</si>
  <si>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</si>
  <si>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</si>
  <si>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</si>
  <si>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</si>
  <si>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</si>
  <si>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</si>
  <si>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</si>
  <si>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</si>
  <si>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</si>
  <si>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</si>
  <si>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</si>
  <si>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</si>
  <si>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</si>
  <si>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</si>
  <si>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</si>
  <si>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</si>
  <si>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</si>
  <si>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</si>
  <si>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</si>
  <si>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</si>
  <si>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</si>
  <si>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</si>
  <si>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</si>
  <si>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</si>
  <si>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</si>
  <si>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</si>
  <si>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</si>
  <si>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</si>
  <si>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</si>
  <si>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</si>
  <si>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</si>
  <si>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</si>
  <si>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</si>
  <si>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</si>
  <si>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</si>
  <si>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</si>
  <si>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</si>
  <si>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</si>
  <si>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</si>
  <si>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</si>
  <si>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</si>
  <si>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</si>
  <si>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</si>
  <si>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</si>
  <si>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</si>
  <si>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</si>
  <si>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</si>
  <si>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</si>
  <si>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</si>
  <si>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</si>
  <si>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</si>
  <si>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</si>
  <si>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</si>
  <si>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</si>
  <si>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</si>
  <si>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</si>
  <si>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</si>
  <si>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Kill mailbox in Python/mailbox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</si>
  <si>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</si>
  <si>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</si>
  <si>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</si>
  <si>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</si>
  <si>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</si>
  <si>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</si>
  <si>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</si>
  <si>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</si>
  <si>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Cheap_Nuclear</t>
  </si>
  <si>
    <t>SuperCharge</t>
  </si>
  <si>
    <t>Offset Initial</t>
  </si>
  <si>
    <t>Offset Yearly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</si>
  <si>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</si>
  <si>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</si>
  <si>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</si>
  <si>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</si>
  <si>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</si>
  <si>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</si>
  <si>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</si>
  <si>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</si>
  <si>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</si>
  <si>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</si>
  <si>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</si>
  <si>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</si>
  <si>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</si>
  <si>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</si>
  <si>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</si>
  <si>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</si>
  <si>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</si>
  <si>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</si>
  <si>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</si>
  <si>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</si>
  <si>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</si>
  <si>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</si>
  <si>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</si>
  <si>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</si>
  <si>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</si>
  <si>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</si>
  <si>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</si>
  <si>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</si>
  <si>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</si>
  <si>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</si>
  <si>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</si>
  <si>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</si>
  <si>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</si>
  <si>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</si>
  <si>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</si>
  <si>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</si>
  <si>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</si>
  <si>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</si>
  <si>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</si>
  <si>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</si>
  <si>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Runs complete set - 5x Constant_CO2 5x Increasing CO2</t>
  </si>
  <si>
    <t>Increasing_CO2</t>
  </si>
  <si>
    <t>3_Qtr_Cap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</si>
</sst>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7"/>
  <sheetViews>
    <sheetView tabSelected="1" workbookViewId="0">
      <pane ySplit="1" topLeftCell="A2" activePane="bottomLeft" state="frozen"/>
      <selection activeCell="B1" sqref="B1"/>
      <selection pane="bottomLeft" activeCell="D7" sqref="D7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5" t="s">
        <v>15</v>
      </c>
      <c r="B1" s="46" t="s">
        <v>35</v>
      </c>
      <c r="C1" s="47" t="s">
        <v>36</v>
      </c>
      <c r="E1" s="15" t="s">
        <v>18</v>
      </c>
      <c r="F1" s="16" t="s">
        <v>35</v>
      </c>
      <c r="G1" s="32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114</v>
      </c>
      <c r="J2" s="36" t="s">
        <v>91</v>
      </c>
    </row>
    <row r="3" spans="1:11" ht="14.65" x14ac:dyDescent="0.85">
      <c r="A3" s="22" t="s">
        <v>32</v>
      </c>
      <c r="B3" s="23" t="s">
        <v>91</v>
      </c>
      <c r="C3" s="24"/>
      <c r="E3" s="4" t="s">
        <v>111</v>
      </c>
      <c r="F3" s="5" t="s">
        <v>40</v>
      </c>
      <c r="G3" s="5" t="s">
        <v>40</v>
      </c>
      <c r="H3" s="6" t="s">
        <v>112</v>
      </c>
      <c r="J3" s="37" t="s">
        <v>2</v>
      </c>
    </row>
    <row r="4" spans="1:11" ht="14.65" x14ac:dyDescent="0.85">
      <c r="A4" s="30" t="s">
        <v>34</v>
      </c>
      <c r="B4" s="23">
        <v>27</v>
      </c>
      <c r="C4" s="24"/>
      <c r="E4" s="4" t="s">
        <v>53</v>
      </c>
      <c r="F4" s="5" t="s">
        <v>41</v>
      </c>
      <c r="G4" s="5" t="s">
        <v>40</v>
      </c>
      <c r="H4" s="6" t="s">
        <v>108</v>
      </c>
      <c r="J4" s="37" t="s">
        <v>3</v>
      </c>
    </row>
    <row r="5" spans="1:11" x14ac:dyDescent="0.85">
      <c r="A5" s="30" t="s">
        <v>53</v>
      </c>
      <c r="B5" s="23" t="s">
        <v>121</v>
      </c>
      <c r="C5" s="24"/>
      <c r="E5" s="48" t="s">
        <v>118</v>
      </c>
      <c r="F5" s="50" t="s">
        <v>41</v>
      </c>
      <c r="G5" s="50" t="s">
        <v>40</v>
      </c>
      <c r="H5" s="52" t="s">
        <v>116</v>
      </c>
      <c r="J5" s="37" t="s">
        <v>4</v>
      </c>
    </row>
    <row r="6" spans="1:11" x14ac:dyDescent="0.85">
      <c r="A6" s="22" t="s">
        <v>118</v>
      </c>
      <c r="B6" s="23" t="s">
        <v>167</v>
      </c>
      <c r="C6" s="24"/>
      <c r="E6" s="49"/>
      <c r="F6" s="51"/>
      <c r="G6" s="51"/>
      <c r="H6" s="53"/>
      <c r="J6" s="37" t="s">
        <v>5</v>
      </c>
    </row>
    <row r="7" spans="1:11" x14ac:dyDescent="0.85">
      <c r="A7" s="22" t="s">
        <v>80</v>
      </c>
      <c r="B7" s="23">
        <v>-0.25</v>
      </c>
      <c r="C7" s="24"/>
      <c r="E7" s="48" t="s">
        <v>161</v>
      </c>
      <c r="F7" s="50" t="s">
        <v>41</v>
      </c>
      <c r="G7" s="50" t="s">
        <v>40</v>
      </c>
      <c r="H7" s="52" t="s">
        <v>162</v>
      </c>
      <c r="J7" s="37" t="s">
        <v>6</v>
      </c>
    </row>
    <row r="8" spans="1:11" x14ac:dyDescent="0.85">
      <c r="A8" s="22" t="s">
        <v>163</v>
      </c>
      <c r="B8" s="23">
        <v>0</v>
      </c>
      <c r="C8" s="24"/>
      <c r="E8" s="49"/>
      <c r="F8" s="51"/>
      <c r="G8" s="51"/>
      <c r="H8" s="53"/>
      <c r="J8" s="37" t="s">
        <v>7</v>
      </c>
    </row>
    <row r="9" spans="1:11" x14ac:dyDescent="0.85">
      <c r="A9" s="22"/>
      <c r="B9" s="23"/>
      <c r="C9" s="24"/>
      <c r="E9" s="48" t="s">
        <v>16</v>
      </c>
      <c r="F9" s="50" t="s">
        <v>90</v>
      </c>
      <c r="G9" s="50" t="s">
        <v>40</v>
      </c>
      <c r="H9" s="52" t="s">
        <v>113</v>
      </c>
      <c r="J9" s="37" t="s">
        <v>8</v>
      </c>
    </row>
    <row r="10" spans="1:11" x14ac:dyDescent="0.85">
      <c r="A10" s="22"/>
      <c r="B10" s="23"/>
      <c r="C10" s="24"/>
      <c r="E10" s="49"/>
      <c r="F10" s="51"/>
      <c r="G10" s="51"/>
      <c r="H10" s="53"/>
      <c r="J10" s="37" t="s">
        <v>9</v>
      </c>
    </row>
    <row r="11" spans="1:11" ht="14.65" customHeight="1" x14ac:dyDescent="0.85">
      <c r="A11" s="22"/>
      <c r="B11" s="23"/>
      <c r="C11" s="24"/>
      <c r="E11" s="48" t="s">
        <v>163</v>
      </c>
      <c r="F11" s="50" t="s">
        <v>164</v>
      </c>
      <c r="G11" s="50" t="s">
        <v>40</v>
      </c>
      <c r="H11" s="52" t="s">
        <v>165</v>
      </c>
      <c r="J11" s="37" t="s">
        <v>10</v>
      </c>
    </row>
    <row r="12" spans="1:11" x14ac:dyDescent="0.85">
      <c r="A12" s="22"/>
      <c r="B12" s="23"/>
      <c r="C12" s="24"/>
      <c r="E12" s="49"/>
      <c r="F12" s="51"/>
      <c r="G12" s="51"/>
      <c r="H12" s="53"/>
      <c r="J12" s="37" t="s">
        <v>11</v>
      </c>
    </row>
    <row r="13" spans="1:11" ht="14.65" x14ac:dyDescent="0.85">
      <c r="A13" s="22"/>
      <c r="B13" s="23"/>
      <c r="C13" s="24"/>
      <c r="E13" s="4" t="s">
        <v>19</v>
      </c>
      <c r="F13" s="5" t="s">
        <v>40</v>
      </c>
      <c r="G13" s="5" t="s">
        <v>40</v>
      </c>
      <c r="H13" s="6" t="s">
        <v>20</v>
      </c>
      <c r="J13" s="37" t="s">
        <v>12</v>
      </c>
    </row>
    <row r="14" spans="1:11" ht="14.65" x14ac:dyDescent="0.85">
      <c r="A14" s="22"/>
      <c r="B14" s="23"/>
      <c r="C14" s="24"/>
      <c r="D14" t="s">
        <v>117</v>
      </c>
      <c r="E14" s="4" t="s">
        <v>54</v>
      </c>
      <c r="F14" s="5" t="s">
        <v>63</v>
      </c>
      <c r="G14" s="7" t="s">
        <v>64</v>
      </c>
      <c r="H14" s="6"/>
      <c r="J14" s="37" t="s">
        <v>13</v>
      </c>
    </row>
    <row r="15" spans="1:11" ht="15.4" customHeight="1" thickBot="1" x14ac:dyDescent="1">
      <c r="A15" s="22"/>
      <c r="B15" s="23"/>
      <c r="C15" s="24"/>
      <c r="E15" s="4" t="s">
        <v>37</v>
      </c>
      <c r="F15" s="5" t="s">
        <v>38</v>
      </c>
      <c r="G15" s="5" t="s">
        <v>38</v>
      </c>
      <c r="H15" s="6" t="s">
        <v>107</v>
      </c>
      <c r="J15" s="38" t="s">
        <v>14</v>
      </c>
    </row>
    <row r="16" spans="1:11" ht="14.65" x14ac:dyDescent="0.85">
      <c r="A16" s="22"/>
      <c r="B16" s="23"/>
      <c r="C16" s="24"/>
      <c r="E16" s="42" t="s">
        <v>56</v>
      </c>
      <c r="F16" s="43" t="s">
        <v>57</v>
      </c>
      <c r="G16" s="43" t="s">
        <v>40</v>
      </c>
      <c r="H16" s="44" t="s">
        <v>61</v>
      </c>
      <c r="J16" s="8"/>
    </row>
    <row r="17" spans="1:8" ht="14.65" customHeight="1" x14ac:dyDescent="0.85">
      <c r="A17" s="22"/>
      <c r="B17" s="23"/>
      <c r="C17" s="24"/>
      <c r="E17" s="48" t="s">
        <v>93</v>
      </c>
      <c r="F17" s="50" t="s">
        <v>94</v>
      </c>
      <c r="G17" s="50" t="s">
        <v>38</v>
      </c>
      <c r="H17" s="52" t="s">
        <v>104</v>
      </c>
    </row>
    <row r="18" spans="1:8" x14ac:dyDescent="0.85">
      <c r="A18" s="22"/>
      <c r="B18" s="23"/>
      <c r="C18" s="24"/>
      <c r="E18" s="54"/>
      <c r="F18" s="55"/>
      <c r="G18" s="55"/>
      <c r="H18" s="56"/>
    </row>
    <row r="19" spans="1:8" x14ac:dyDescent="0.85">
      <c r="A19" s="22"/>
      <c r="B19" s="23"/>
      <c r="C19" s="24"/>
      <c r="E19" s="48" t="s">
        <v>115</v>
      </c>
      <c r="F19" s="50" t="s">
        <v>100</v>
      </c>
      <c r="G19" s="50" t="s">
        <v>40</v>
      </c>
      <c r="H19" s="52" t="s">
        <v>101</v>
      </c>
    </row>
    <row r="20" spans="1:8" x14ac:dyDescent="0.85">
      <c r="A20" s="22"/>
      <c r="B20" s="23"/>
      <c r="C20" s="24"/>
      <c r="E20" s="49"/>
      <c r="F20" s="51"/>
      <c r="G20" s="51"/>
      <c r="H20" s="53"/>
    </row>
    <row r="21" spans="1:8" x14ac:dyDescent="0.85">
      <c r="A21" s="22"/>
      <c r="B21" s="23"/>
      <c r="C21" s="24"/>
      <c r="E21" s="48" t="s">
        <v>119</v>
      </c>
      <c r="F21" s="50" t="s">
        <v>40</v>
      </c>
      <c r="G21" s="50" t="s">
        <v>40</v>
      </c>
      <c r="H21" s="52" t="s">
        <v>120</v>
      </c>
    </row>
    <row r="22" spans="1:8" ht="15.25" thickBot="1" x14ac:dyDescent="1">
      <c r="A22" s="22"/>
      <c r="B22" s="23"/>
      <c r="C22" s="24"/>
      <c r="E22" s="57"/>
      <c r="F22" s="58"/>
      <c r="G22" s="58"/>
      <c r="H22" s="59"/>
    </row>
    <row r="23" spans="1:8" ht="15.25" thickBot="1" x14ac:dyDescent="1">
      <c r="A23" s="22"/>
      <c r="B23" s="23"/>
      <c r="C23" s="24"/>
      <c r="E23" s="60" t="s">
        <v>60</v>
      </c>
      <c r="F23" s="61"/>
      <c r="G23" s="62"/>
      <c r="H23" s="63"/>
    </row>
    <row r="24" spans="1:8" x14ac:dyDescent="0.85">
      <c r="A24" s="22"/>
      <c r="B24" s="23"/>
      <c r="C24" s="24"/>
      <c r="E24" s="33" t="s">
        <v>68</v>
      </c>
      <c r="F24" s="64" t="s">
        <v>88</v>
      </c>
      <c r="G24" s="64" t="s">
        <v>89</v>
      </c>
      <c r="H24" s="34" t="s">
        <v>65</v>
      </c>
    </row>
    <row r="25" spans="1:8" x14ac:dyDescent="0.85">
      <c r="A25" s="22"/>
      <c r="B25" s="23"/>
      <c r="C25" s="24"/>
      <c r="E25" s="4" t="s">
        <v>58</v>
      </c>
      <c r="F25" s="65"/>
      <c r="G25" s="65"/>
      <c r="H25" s="6" t="s">
        <v>66</v>
      </c>
    </row>
    <row r="26" spans="1:8" x14ac:dyDescent="0.85">
      <c r="A26" s="22"/>
      <c r="B26" s="23"/>
      <c r="C26" s="24"/>
      <c r="E26" s="4" t="s">
        <v>59</v>
      </c>
      <c r="F26" s="65"/>
      <c r="G26" s="65"/>
      <c r="H26" s="6" t="s">
        <v>67</v>
      </c>
    </row>
    <row r="27" spans="1:8" x14ac:dyDescent="0.85">
      <c r="A27" s="22"/>
      <c r="B27" s="23"/>
      <c r="C27" s="24"/>
      <c r="E27" s="4" t="s">
        <v>74</v>
      </c>
      <c r="F27" s="65"/>
      <c r="G27" s="65"/>
      <c r="H27" s="6" t="s">
        <v>75</v>
      </c>
    </row>
    <row r="28" spans="1:8" ht="15.25" thickBot="1" x14ac:dyDescent="1">
      <c r="A28" s="22"/>
      <c r="B28" s="23"/>
      <c r="C28" s="24"/>
      <c r="E28" s="35" t="s">
        <v>77</v>
      </c>
      <c r="F28" s="66"/>
      <c r="G28" s="66"/>
      <c r="H28" s="31" t="s">
        <v>76</v>
      </c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ht="15.25" thickBot="1" x14ac:dyDescent="1">
      <c r="A36" s="22"/>
      <c r="B36" s="23"/>
      <c r="C36" s="27"/>
    </row>
    <row r="37" spans="1:3" ht="15.25" thickBot="1" x14ac:dyDescent="1">
      <c r="A37" s="25"/>
      <c r="B37" s="26"/>
    </row>
  </sheetData>
  <mergeCells count="31"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7:E18"/>
    <mergeCell ref="F17:F18"/>
    <mergeCell ref="G17:G18"/>
    <mergeCell ref="H17:H18"/>
  </mergeCells>
  <conditionalFormatting sqref="B2:B37">
    <cfRule type="expression" dxfId="2" priority="2">
      <formula>AND($A2&lt;&gt;"Years",$A2&lt;&gt;"CO2_Price", $A2 &lt;&gt; "Molten_Rate", $A2 &lt;&gt; "Run",$A2&lt;&gt;"Run_All")</formula>
    </cfRule>
  </conditionalFormatting>
  <conditionalFormatting sqref="C2:C37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I1" sqref="I1:K4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42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45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103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102</v>
      </c>
    </row>
    <row r="7" spans="1:5" ht="14.65" x14ac:dyDescent="0.85">
      <c r="A7" s="4" t="s">
        <v>16</v>
      </c>
      <c r="B7" s="7" t="s">
        <v>43</v>
      </c>
      <c r="C7" s="6"/>
      <c r="D7" t="s">
        <v>46</v>
      </c>
    </row>
    <row r="8" spans="1:5" ht="14.65" x14ac:dyDescent="0.85">
      <c r="A8" s="4" t="s">
        <v>16</v>
      </c>
      <c r="B8" s="7" t="s">
        <v>44</v>
      </c>
      <c r="C8" s="6"/>
      <c r="D8" t="s">
        <v>47</v>
      </c>
    </row>
    <row r="9" spans="1:5" ht="14.65" x14ac:dyDescent="0.85">
      <c r="A9" s="4"/>
      <c r="B9" s="7"/>
      <c r="C9" s="6"/>
      <c r="D9" t="s">
        <v>48</v>
      </c>
    </row>
    <row r="11" spans="1:5" ht="14.65" x14ac:dyDescent="0.85">
      <c r="B11" t="s">
        <v>17</v>
      </c>
      <c r="E11" t="s">
        <v>49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8">
        <v>0.05</v>
      </c>
      <c r="F20" s="28">
        <v>0.2</v>
      </c>
    </row>
    <row r="21" spans="1:6" x14ac:dyDescent="0.85">
      <c r="A21" t="s">
        <v>50</v>
      </c>
      <c r="B21" t="s">
        <v>52</v>
      </c>
      <c r="E21" t="s">
        <v>51</v>
      </c>
    </row>
    <row r="22" spans="1:6" x14ac:dyDescent="0.85">
      <c r="A22">
        <v>0</v>
      </c>
      <c r="B22">
        <f>$B$20+(A22*$C$20)</f>
        <v>5</v>
      </c>
      <c r="E22" s="29">
        <f>1+$E$20</f>
        <v>1.05</v>
      </c>
      <c r="F22" s="29"/>
    </row>
    <row r="23" spans="1:6" x14ac:dyDescent="0.85">
      <c r="A23">
        <v>1</v>
      </c>
      <c r="B23">
        <f t="shared" ref="B23:B32" si="0">$B$20+(A23*$C$20)</f>
        <v>25</v>
      </c>
      <c r="E23" s="29">
        <f>E22*(1+$F$20)</f>
        <v>1.26</v>
      </c>
      <c r="F23" s="29"/>
    </row>
    <row r="24" spans="1:6" x14ac:dyDescent="0.85">
      <c r="A24">
        <v>2</v>
      </c>
      <c r="B24">
        <f t="shared" si="0"/>
        <v>45</v>
      </c>
      <c r="E24" s="29">
        <f t="shared" ref="E24:E32" si="1">E23*(1+$F$20)</f>
        <v>1.512</v>
      </c>
      <c r="F24" s="29"/>
    </row>
    <row r="25" spans="1:6" x14ac:dyDescent="0.85">
      <c r="A25">
        <v>3</v>
      </c>
      <c r="B25">
        <f t="shared" si="0"/>
        <v>65</v>
      </c>
      <c r="E25" s="29">
        <f t="shared" si="1"/>
        <v>1.8144</v>
      </c>
      <c r="F25" s="29"/>
    </row>
    <row r="26" spans="1:6" x14ac:dyDescent="0.85">
      <c r="A26">
        <v>4</v>
      </c>
      <c r="B26">
        <f t="shared" si="0"/>
        <v>85</v>
      </c>
      <c r="E26" s="29">
        <f t="shared" si="1"/>
        <v>2.1772800000000001</v>
      </c>
      <c r="F26" s="29"/>
    </row>
    <row r="27" spans="1:6" x14ac:dyDescent="0.85">
      <c r="A27">
        <v>5</v>
      </c>
      <c r="B27">
        <f t="shared" si="0"/>
        <v>105</v>
      </c>
      <c r="E27" s="29">
        <f t="shared" si="1"/>
        <v>2.6127359999999999</v>
      </c>
      <c r="F27" s="29"/>
    </row>
    <row r="28" spans="1:6" x14ac:dyDescent="0.85">
      <c r="A28">
        <v>6</v>
      </c>
      <c r="B28">
        <f t="shared" si="0"/>
        <v>125</v>
      </c>
      <c r="E28" s="29">
        <f t="shared" si="1"/>
        <v>3.1352831999999999</v>
      </c>
      <c r="F28" s="29"/>
    </row>
    <row r="29" spans="1:6" x14ac:dyDescent="0.85">
      <c r="A29">
        <v>7</v>
      </c>
      <c r="B29">
        <f t="shared" si="0"/>
        <v>145</v>
      </c>
      <c r="E29" s="29">
        <f t="shared" si="1"/>
        <v>3.7623398399999997</v>
      </c>
      <c r="F29" s="29"/>
    </row>
    <row r="30" spans="1:6" x14ac:dyDescent="0.85">
      <c r="A30">
        <v>8</v>
      </c>
      <c r="B30">
        <f t="shared" si="0"/>
        <v>165</v>
      </c>
      <c r="E30" s="29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9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9">
        <f t="shared" si="1"/>
        <v>6.501323243519999</v>
      </c>
    </row>
    <row r="33" spans="5:5" x14ac:dyDescent="0.85">
      <c r="E33" s="29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K51"/>
  <sheetViews>
    <sheetView topLeftCell="A21" workbookViewId="0">
      <selection activeCell="C9" sqref="C9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15.265625" bestFit="1" customWidth="1"/>
    <col min="10" max="11" width="8.57421875" customWidth="1"/>
    <col min="12" max="12" width="7.53515625" bestFit="1" customWidth="1"/>
    <col min="13" max="13" width="10.265625" bestFit="1" customWidth="1"/>
    <col min="14" max="14" width="12.23046875" bestFit="1" customWidth="1"/>
    <col min="15" max="15" width="8.9609375" bestFit="1" customWidth="1"/>
    <col min="16" max="16" width="9.4609375" bestFit="1" customWidth="1"/>
    <col min="17" max="17" width="12.19140625" bestFit="1" customWidth="1"/>
    <col min="18" max="18" width="12.3828125" bestFit="1" customWidth="1"/>
    <col min="19" max="19" width="12.73046875" bestFit="1" customWidth="1"/>
    <col min="20" max="20" width="14.69140625" bestFit="1" customWidth="1"/>
    <col min="21" max="21" width="11.34375" bestFit="1" customWidth="1"/>
    <col min="22" max="22" width="11.84375" bestFit="1" customWidth="1"/>
    <col min="23" max="23" width="14.61328125" bestFit="1" customWidth="1"/>
    <col min="25" max="25" width="11.84375" bestFit="1" customWidth="1"/>
  </cols>
  <sheetData>
    <row r="1" spans="1:11" s="41" customFormat="1" ht="29.15" x14ac:dyDescent="0.85">
      <c r="B1" s="41" t="s">
        <v>92</v>
      </c>
      <c r="C1" s="41" t="s">
        <v>35</v>
      </c>
      <c r="D1" s="41" t="s">
        <v>62</v>
      </c>
      <c r="E1" s="41" t="s">
        <v>109</v>
      </c>
      <c r="F1" s="41" t="s">
        <v>110</v>
      </c>
      <c r="G1" s="41" t="s">
        <v>123</v>
      </c>
      <c r="H1" s="41" t="s">
        <v>124</v>
      </c>
      <c r="I1" s="41" t="s">
        <v>125</v>
      </c>
    </row>
    <row r="2" spans="1:11" ht="14.65" x14ac:dyDescent="0.85">
      <c r="A2" t="s">
        <v>105</v>
      </c>
      <c r="B2" s="40">
        <f ca="1">TODAY()</f>
        <v>45442</v>
      </c>
      <c r="I2" t="s">
        <v>105</v>
      </c>
    </row>
    <row r="3" spans="1:11" ht="14.65" x14ac:dyDescent="0.85">
      <c r="A3" t="s">
        <v>106</v>
      </c>
      <c r="B3" s="39">
        <f ca="1">NOW()</f>
        <v>45442.869897337965</v>
      </c>
      <c r="I3" t="s">
        <v>106</v>
      </c>
    </row>
    <row r="4" spans="1:11" ht="14.65" x14ac:dyDescent="0.85">
      <c r="A4" t="s">
        <v>53</v>
      </c>
      <c r="B4" s="18" t="s">
        <v>121</v>
      </c>
      <c r="C4" s="18">
        <v>0</v>
      </c>
      <c r="D4" s="18"/>
      <c r="E4" s="18"/>
      <c r="F4" s="18"/>
      <c r="G4" s="18"/>
      <c r="H4" s="18"/>
      <c r="I4" t="s">
        <v>53</v>
      </c>
      <c r="K4" t="s">
        <v>55</v>
      </c>
    </row>
    <row r="5" spans="1:11" ht="14.65" x14ac:dyDescent="0.85">
      <c r="A5" t="s">
        <v>118</v>
      </c>
      <c r="B5" s="18" t="s">
        <v>167</v>
      </c>
      <c r="C5" s="18">
        <v>0</v>
      </c>
      <c r="D5" s="18"/>
      <c r="E5" s="18"/>
      <c r="F5" s="18"/>
      <c r="G5" s="18"/>
      <c r="H5" s="18"/>
      <c r="I5" t="s">
        <v>118</v>
      </c>
      <c r="K5" t="str" cm="1">
        <f t="array" ref="K5">IF(AND(LEN(Directory)&gt;0,LEN(SubDir)&gt;0,LEN(Region)&gt;0,ISNUMBER(C9:C43),ISNUMBER(D9:D43), Years &gt; 0), "OK", "Missing Data")</f>
        <v>OK</v>
      </c>
    </row>
    <row r="6" spans="1:11" ht="14.65" x14ac:dyDescent="0.85">
      <c r="A6" t="s">
        <v>161</v>
      </c>
      <c r="B6" s="18" t="s">
        <v>166</v>
      </c>
      <c r="C6" s="18">
        <v>0</v>
      </c>
      <c r="D6" s="18"/>
      <c r="E6" s="18"/>
      <c r="F6" s="18"/>
      <c r="G6" s="18"/>
      <c r="H6" s="18"/>
    </row>
    <row r="7" spans="1:11" ht="14.65" x14ac:dyDescent="0.85">
      <c r="A7" t="s">
        <v>32</v>
      </c>
      <c r="B7" s="18" t="s">
        <v>91</v>
      </c>
      <c r="C7" s="18">
        <v>0</v>
      </c>
      <c r="D7" s="18"/>
      <c r="E7" s="18"/>
      <c r="F7" s="18"/>
      <c r="G7" s="18"/>
      <c r="H7" s="18"/>
      <c r="I7" t="s">
        <v>32</v>
      </c>
    </row>
    <row r="8" spans="1:11" ht="14.65" x14ac:dyDescent="0.85">
      <c r="A8" t="s">
        <v>34</v>
      </c>
      <c r="B8" s="18"/>
      <c r="C8" s="18">
        <v>27</v>
      </c>
      <c r="D8" s="18">
        <v>0</v>
      </c>
      <c r="E8" s="18">
        <v>27</v>
      </c>
      <c r="F8" s="18">
        <v>0</v>
      </c>
      <c r="G8" s="18">
        <v>0</v>
      </c>
      <c r="H8" s="18">
        <v>0</v>
      </c>
      <c r="I8" t="s">
        <v>34</v>
      </c>
    </row>
    <row r="9" spans="1:11" ht="14.65" x14ac:dyDescent="0.85">
      <c r="A9" t="s">
        <v>54</v>
      </c>
      <c r="B9" s="18"/>
      <c r="C9" s="18">
        <v>30</v>
      </c>
      <c r="D9" s="18">
        <v>30</v>
      </c>
      <c r="E9" s="18">
        <v>0</v>
      </c>
      <c r="F9" s="18">
        <v>0</v>
      </c>
      <c r="G9" s="18">
        <v>0</v>
      </c>
      <c r="H9" s="18">
        <v>0</v>
      </c>
      <c r="I9" t="s">
        <v>126</v>
      </c>
    </row>
    <row r="10" spans="1:11" ht="14.65" x14ac:dyDescent="0.85">
      <c r="A10" t="s">
        <v>122</v>
      </c>
      <c r="B10" s="18"/>
      <c r="C10" s="18">
        <v>0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t="s">
        <v>158</v>
      </c>
    </row>
    <row r="11" spans="1:11" ht="14.65" x14ac:dyDescent="0.85">
      <c r="A11" t="s">
        <v>93</v>
      </c>
      <c r="B11" s="18"/>
      <c r="C11" s="18">
        <v>0</v>
      </c>
      <c r="D11" s="18">
        <v>1</v>
      </c>
      <c r="E11" s="18">
        <v>0</v>
      </c>
      <c r="F11" s="18">
        <v>1</v>
      </c>
      <c r="G11" s="18">
        <v>0</v>
      </c>
      <c r="H11" s="18">
        <v>1</v>
      </c>
      <c r="I11" t="s">
        <v>127</v>
      </c>
    </row>
    <row r="12" spans="1:11" ht="14.65" x14ac:dyDescent="0.85">
      <c r="A12" t="s">
        <v>56</v>
      </c>
      <c r="B12" s="18"/>
      <c r="C12" s="18">
        <v>0.12</v>
      </c>
      <c r="D12" s="18">
        <v>1</v>
      </c>
      <c r="E12" s="18">
        <v>0.12</v>
      </c>
      <c r="F12" s="18">
        <v>1</v>
      </c>
      <c r="G12" s="18">
        <v>0</v>
      </c>
      <c r="H12" s="18">
        <v>1</v>
      </c>
      <c r="I12" t="s">
        <v>159</v>
      </c>
    </row>
    <row r="13" spans="1:11" ht="14.65" x14ac:dyDescent="0.85">
      <c r="A13" t="s">
        <v>37</v>
      </c>
      <c r="B13" s="18"/>
      <c r="C13" s="18">
        <v>1.02</v>
      </c>
      <c r="D13" s="18">
        <v>1</v>
      </c>
      <c r="E13" s="18">
        <v>1.02</v>
      </c>
      <c r="F13" s="18">
        <v>1</v>
      </c>
      <c r="G13" s="18">
        <v>1</v>
      </c>
      <c r="H13" s="18">
        <v>1</v>
      </c>
      <c r="I13" t="s">
        <v>160</v>
      </c>
    </row>
    <row r="14" spans="1:11" ht="14.65" x14ac:dyDescent="0.85">
      <c r="A14" t="s">
        <v>82</v>
      </c>
      <c r="C14">
        <v>1</v>
      </c>
      <c r="D14" s="18">
        <v>1</v>
      </c>
      <c r="E14">
        <v>1</v>
      </c>
      <c r="F14" s="18">
        <v>1</v>
      </c>
      <c r="G14">
        <v>1</v>
      </c>
      <c r="H14" s="18">
        <v>1</v>
      </c>
      <c r="I14" t="s">
        <v>128</v>
      </c>
    </row>
    <row r="15" spans="1:11" ht="14.65" x14ac:dyDescent="0.85">
      <c r="A15" t="s">
        <v>25</v>
      </c>
      <c r="C15">
        <v>1</v>
      </c>
      <c r="D15" s="18">
        <v>1</v>
      </c>
      <c r="E15">
        <v>1</v>
      </c>
      <c r="F15" s="18">
        <v>1</v>
      </c>
      <c r="G15">
        <v>1</v>
      </c>
      <c r="H15" s="18">
        <v>1</v>
      </c>
      <c r="I15" t="s">
        <v>133</v>
      </c>
    </row>
    <row r="16" spans="1:11" ht="14.65" x14ac:dyDescent="0.85">
      <c r="A16" t="s">
        <v>73</v>
      </c>
      <c r="C16">
        <v>1</v>
      </c>
      <c r="D16" s="18">
        <v>1</v>
      </c>
      <c r="E16">
        <v>1</v>
      </c>
      <c r="F16" s="18">
        <v>1</v>
      </c>
      <c r="G16">
        <v>1</v>
      </c>
      <c r="H16" s="18">
        <v>1</v>
      </c>
      <c r="I16" t="s">
        <v>136</v>
      </c>
    </row>
    <row r="17" spans="1:9" ht="14.65" x14ac:dyDescent="0.85">
      <c r="A17" t="s">
        <v>87</v>
      </c>
      <c r="C17">
        <v>1</v>
      </c>
      <c r="D17" s="18">
        <v>1</v>
      </c>
      <c r="E17">
        <v>1</v>
      </c>
      <c r="F17" s="18">
        <v>1</v>
      </c>
      <c r="G17">
        <v>1</v>
      </c>
      <c r="H17" s="18">
        <v>1</v>
      </c>
      <c r="I17" t="s">
        <v>140</v>
      </c>
    </row>
    <row r="18" spans="1:9" ht="14.65" x14ac:dyDescent="0.85">
      <c r="A18" t="s">
        <v>30</v>
      </c>
      <c r="C18">
        <v>1</v>
      </c>
      <c r="D18" s="18">
        <v>1</v>
      </c>
      <c r="E18">
        <v>1</v>
      </c>
      <c r="F18" s="18">
        <v>1</v>
      </c>
      <c r="G18">
        <v>1</v>
      </c>
      <c r="H18" s="18">
        <v>1</v>
      </c>
      <c r="I18" t="s">
        <v>144</v>
      </c>
    </row>
    <row r="19" spans="1:9" ht="14.65" x14ac:dyDescent="0.85">
      <c r="A19" t="s">
        <v>81</v>
      </c>
      <c r="C19">
        <v>1</v>
      </c>
      <c r="D19" s="18">
        <v>1</v>
      </c>
      <c r="E19">
        <v>1</v>
      </c>
      <c r="F19" s="18">
        <v>1</v>
      </c>
      <c r="G19">
        <v>1</v>
      </c>
      <c r="H19" s="18">
        <v>1</v>
      </c>
      <c r="I19" t="s">
        <v>129</v>
      </c>
    </row>
    <row r="20" spans="1:9" ht="14.65" x14ac:dyDescent="0.85">
      <c r="A20" t="s">
        <v>24</v>
      </c>
      <c r="C20">
        <v>1</v>
      </c>
      <c r="D20" s="18">
        <v>1</v>
      </c>
      <c r="E20">
        <v>1</v>
      </c>
      <c r="F20" s="18">
        <v>1</v>
      </c>
      <c r="G20">
        <v>1</v>
      </c>
      <c r="H20" s="18">
        <v>1</v>
      </c>
      <c r="I20" t="s">
        <v>132</v>
      </c>
    </row>
    <row r="21" spans="1:9" ht="14.65" x14ac:dyDescent="0.85">
      <c r="A21" t="s">
        <v>72</v>
      </c>
      <c r="C21">
        <v>1</v>
      </c>
      <c r="D21" s="18">
        <v>1</v>
      </c>
      <c r="E21">
        <v>1</v>
      </c>
      <c r="F21" s="18">
        <v>1</v>
      </c>
      <c r="G21">
        <v>1</v>
      </c>
      <c r="H21" s="18">
        <v>1</v>
      </c>
      <c r="I21" t="s">
        <v>137</v>
      </c>
    </row>
    <row r="22" spans="1:9" ht="14.65" x14ac:dyDescent="0.85">
      <c r="A22" t="s">
        <v>86</v>
      </c>
      <c r="C22">
        <v>1</v>
      </c>
      <c r="D22" s="18">
        <v>1</v>
      </c>
      <c r="E22">
        <v>1</v>
      </c>
      <c r="F22" s="18">
        <v>1</v>
      </c>
      <c r="G22">
        <v>1</v>
      </c>
      <c r="H22" s="18">
        <v>1</v>
      </c>
      <c r="I22" t="s">
        <v>141</v>
      </c>
    </row>
    <row r="23" spans="1:9" ht="14.65" x14ac:dyDescent="0.85">
      <c r="A23" t="s">
        <v>29</v>
      </c>
      <c r="C23">
        <v>1</v>
      </c>
      <c r="D23" s="18">
        <v>1</v>
      </c>
      <c r="E23">
        <v>1</v>
      </c>
      <c r="F23" s="18">
        <v>1</v>
      </c>
      <c r="G23">
        <v>1</v>
      </c>
      <c r="H23" s="18">
        <v>1</v>
      </c>
      <c r="I23" t="s">
        <v>145</v>
      </c>
    </row>
    <row r="24" spans="1:9" ht="14.65" x14ac:dyDescent="0.85">
      <c r="A24" t="s">
        <v>80</v>
      </c>
      <c r="C24">
        <v>0.75</v>
      </c>
      <c r="D24" s="18">
        <v>1</v>
      </c>
      <c r="E24">
        <v>1</v>
      </c>
      <c r="F24" s="18">
        <v>1</v>
      </c>
      <c r="G24">
        <v>1</v>
      </c>
      <c r="H24" s="18">
        <v>1</v>
      </c>
      <c r="I24" t="s">
        <v>153</v>
      </c>
    </row>
    <row r="25" spans="1:9" ht="14.65" x14ac:dyDescent="0.85">
      <c r="A25" t="s">
        <v>23</v>
      </c>
      <c r="C25">
        <v>1</v>
      </c>
      <c r="D25" s="18">
        <v>1</v>
      </c>
      <c r="E25">
        <v>1</v>
      </c>
      <c r="F25" s="18">
        <v>1</v>
      </c>
      <c r="G25">
        <v>1</v>
      </c>
      <c r="H25" s="18">
        <v>1</v>
      </c>
      <c r="I25" t="s">
        <v>154</v>
      </c>
    </row>
    <row r="26" spans="1:9" ht="14.65" x14ac:dyDescent="0.85">
      <c r="A26" t="s">
        <v>71</v>
      </c>
      <c r="C26">
        <v>1</v>
      </c>
      <c r="D26" s="18">
        <v>1</v>
      </c>
      <c r="E26">
        <v>1</v>
      </c>
      <c r="F26" s="18">
        <v>1</v>
      </c>
      <c r="G26">
        <v>1</v>
      </c>
      <c r="H26" s="18">
        <v>1</v>
      </c>
      <c r="I26" t="s">
        <v>155</v>
      </c>
    </row>
    <row r="27" spans="1:9" ht="14.65" x14ac:dyDescent="0.85">
      <c r="A27" t="s">
        <v>85</v>
      </c>
      <c r="C27">
        <v>1</v>
      </c>
      <c r="D27" s="18">
        <v>1</v>
      </c>
      <c r="E27">
        <v>1</v>
      </c>
      <c r="F27" s="18">
        <v>1</v>
      </c>
      <c r="G27">
        <v>1</v>
      </c>
      <c r="H27" s="18">
        <v>1</v>
      </c>
      <c r="I27" t="s">
        <v>156</v>
      </c>
    </row>
    <row r="28" spans="1:9" ht="14.65" x14ac:dyDescent="0.85">
      <c r="A28" t="s">
        <v>28</v>
      </c>
      <c r="C28">
        <v>1</v>
      </c>
      <c r="D28" s="18">
        <v>1</v>
      </c>
      <c r="E28">
        <v>1</v>
      </c>
      <c r="F28" s="18">
        <v>1</v>
      </c>
      <c r="G28">
        <v>1</v>
      </c>
      <c r="H28" s="18">
        <v>1</v>
      </c>
      <c r="I28" t="s">
        <v>157</v>
      </c>
    </row>
    <row r="29" spans="1:9" ht="14.65" x14ac:dyDescent="0.85">
      <c r="A29" t="s">
        <v>78</v>
      </c>
      <c r="C29">
        <v>1</v>
      </c>
      <c r="D29" s="18">
        <v>1</v>
      </c>
      <c r="E29">
        <v>1</v>
      </c>
      <c r="F29" s="18">
        <v>1</v>
      </c>
      <c r="G29">
        <v>1</v>
      </c>
      <c r="H29" s="18">
        <v>1</v>
      </c>
      <c r="I29" t="s">
        <v>130</v>
      </c>
    </row>
    <row r="30" spans="1:9" ht="14.65" x14ac:dyDescent="0.85">
      <c r="A30" t="s">
        <v>21</v>
      </c>
      <c r="C30">
        <v>1</v>
      </c>
      <c r="D30" s="18">
        <v>1</v>
      </c>
      <c r="E30">
        <v>1</v>
      </c>
      <c r="F30" s="18">
        <v>1</v>
      </c>
      <c r="G30">
        <v>1</v>
      </c>
      <c r="H30" s="18">
        <v>1</v>
      </c>
      <c r="I30" t="s">
        <v>134</v>
      </c>
    </row>
    <row r="31" spans="1:9" ht="14.65" x14ac:dyDescent="0.85">
      <c r="A31" t="s">
        <v>69</v>
      </c>
      <c r="C31">
        <v>1</v>
      </c>
      <c r="D31" s="18">
        <v>1</v>
      </c>
      <c r="E31">
        <v>1</v>
      </c>
      <c r="F31" s="18">
        <v>1</v>
      </c>
      <c r="G31">
        <v>1</v>
      </c>
      <c r="H31" s="18">
        <v>1</v>
      </c>
      <c r="I31" t="s">
        <v>138</v>
      </c>
    </row>
    <row r="32" spans="1:9" ht="14.65" x14ac:dyDescent="0.85">
      <c r="A32" t="s">
        <v>83</v>
      </c>
      <c r="C32">
        <v>1</v>
      </c>
      <c r="D32" s="18">
        <v>1</v>
      </c>
      <c r="E32">
        <v>1</v>
      </c>
      <c r="F32" s="18">
        <v>1</v>
      </c>
      <c r="G32">
        <v>1</v>
      </c>
      <c r="H32" s="18">
        <v>1</v>
      </c>
      <c r="I32" t="s">
        <v>142</v>
      </c>
    </row>
    <row r="33" spans="1:9" ht="14.65" x14ac:dyDescent="0.85">
      <c r="A33" t="s">
        <v>26</v>
      </c>
      <c r="C33">
        <v>1</v>
      </c>
      <c r="D33" s="18">
        <v>1</v>
      </c>
      <c r="E33">
        <v>1</v>
      </c>
      <c r="F33" s="18">
        <v>1</v>
      </c>
      <c r="G33">
        <v>1</v>
      </c>
      <c r="H33" s="18">
        <v>1</v>
      </c>
      <c r="I33" t="s">
        <v>146</v>
      </c>
    </row>
    <row r="34" spans="1:9" ht="14.65" x14ac:dyDescent="0.85">
      <c r="A34" t="s">
        <v>95</v>
      </c>
      <c r="C34">
        <v>1</v>
      </c>
      <c r="D34" s="18">
        <v>1</v>
      </c>
      <c r="E34">
        <v>1</v>
      </c>
      <c r="F34" s="18">
        <v>1</v>
      </c>
      <c r="G34">
        <v>1</v>
      </c>
      <c r="H34" s="18">
        <v>1</v>
      </c>
      <c r="I34" t="s">
        <v>148</v>
      </c>
    </row>
    <row r="35" spans="1:9" ht="14.65" x14ac:dyDescent="0.85">
      <c r="A35" t="s">
        <v>96</v>
      </c>
      <c r="C35">
        <v>1</v>
      </c>
      <c r="D35" s="18">
        <v>1</v>
      </c>
      <c r="E35">
        <v>1</v>
      </c>
      <c r="F35" s="18">
        <v>1</v>
      </c>
      <c r="G35">
        <v>1</v>
      </c>
      <c r="H35" s="18">
        <v>1</v>
      </c>
      <c r="I35" t="s">
        <v>149</v>
      </c>
    </row>
    <row r="36" spans="1:9" ht="14.65" x14ac:dyDescent="0.85">
      <c r="A36" t="s">
        <v>97</v>
      </c>
      <c r="C36">
        <v>1</v>
      </c>
      <c r="D36" s="18">
        <v>1</v>
      </c>
      <c r="E36">
        <v>1</v>
      </c>
      <c r="F36" s="18">
        <v>1</v>
      </c>
      <c r="G36">
        <v>1</v>
      </c>
      <c r="H36" s="18">
        <v>1</v>
      </c>
      <c r="I36" t="s">
        <v>150</v>
      </c>
    </row>
    <row r="37" spans="1:9" ht="14.65" x14ac:dyDescent="0.85">
      <c r="A37" t="s">
        <v>98</v>
      </c>
      <c r="C37">
        <v>1</v>
      </c>
      <c r="D37" s="18">
        <v>1</v>
      </c>
      <c r="E37">
        <v>1</v>
      </c>
      <c r="F37" s="18">
        <v>1</v>
      </c>
      <c r="G37">
        <v>1</v>
      </c>
      <c r="H37" s="18">
        <v>1</v>
      </c>
      <c r="I37" t="s">
        <v>151</v>
      </c>
    </row>
    <row r="38" spans="1:9" x14ac:dyDescent="0.85">
      <c r="A38" t="s">
        <v>99</v>
      </c>
      <c r="C38">
        <v>1</v>
      </c>
      <c r="D38" s="18">
        <v>1</v>
      </c>
      <c r="E38">
        <v>1</v>
      </c>
      <c r="F38" s="18">
        <v>1</v>
      </c>
      <c r="G38">
        <v>1</v>
      </c>
      <c r="H38" s="18">
        <v>1</v>
      </c>
      <c r="I38" t="s">
        <v>152</v>
      </c>
    </row>
    <row r="39" spans="1:9" x14ac:dyDescent="0.85">
      <c r="A39" t="s">
        <v>79</v>
      </c>
      <c r="C39">
        <v>1</v>
      </c>
      <c r="D39" s="18">
        <v>1</v>
      </c>
      <c r="E39">
        <v>1</v>
      </c>
      <c r="F39" s="18">
        <v>1</v>
      </c>
      <c r="G39">
        <v>1</v>
      </c>
      <c r="H39" s="18">
        <v>1</v>
      </c>
      <c r="I39" t="s">
        <v>131</v>
      </c>
    </row>
    <row r="40" spans="1:9" x14ac:dyDescent="0.85">
      <c r="A40" t="s">
        <v>22</v>
      </c>
      <c r="C40">
        <v>1</v>
      </c>
      <c r="D40" s="18">
        <v>1</v>
      </c>
      <c r="E40">
        <v>1</v>
      </c>
      <c r="F40" s="18">
        <v>1</v>
      </c>
      <c r="G40">
        <v>1</v>
      </c>
      <c r="H40" s="18">
        <v>1</v>
      </c>
      <c r="I40" t="s">
        <v>135</v>
      </c>
    </row>
    <row r="41" spans="1:9" x14ac:dyDescent="0.85">
      <c r="A41" t="s">
        <v>70</v>
      </c>
      <c r="C41">
        <v>1</v>
      </c>
      <c r="D41" s="18">
        <v>1</v>
      </c>
      <c r="E41">
        <v>1</v>
      </c>
      <c r="F41" s="18">
        <v>1</v>
      </c>
      <c r="G41">
        <v>1</v>
      </c>
      <c r="H41" s="18">
        <v>1</v>
      </c>
      <c r="I41" t="s">
        <v>139</v>
      </c>
    </row>
    <row r="42" spans="1:9" x14ac:dyDescent="0.85">
      <c r="A42" t="s">
        <v>84</v>
      </c>
      <c r="C42">
        <v>1</v>
      </c>
      <c r="D42" s="18">
        <v>1</v>
      </c>
      <c r="E42">
        <v>1</v>
      </c>
      <c r="F42" s="18">
        <v>1</v>
      </c>
      <c r="G42">
        <v>1</v>
      </c>
      <c r="H42" s="18">
        <v>1</v>
      </c>
      <c r="I42" t="s">
        <v>143</v>
      </c>
    </row>
    <row r="43" spans="1:9" x14ac:dyDescent="0.85">
      <c r="A43" t="s">
        <v>27</v>
      </c>
      <c r="C43">
        <v>1</v>
      </c>
      <c r="D43" s="18">
        <v>1</v>
      </c>
      <c r="E43">
        <v>1</v>
      </c>
      <c r="F43" s="18">
        <v>1</v>
      </c>
      <c r="G43">
        <v>1</v>
      </c>
      <c r="H43" s="18">
        <v>1</v>
      </c>
      <c r="I43" t="s">
        <v>147</v>
      </c>
    </row>
    <row r="44" spans="1:9" x14ac:dyDescent="0.85">
      <c r="B44" s="18"/>
      <c r="C44" s="18"/>
      <c r="D44" s="18"/>
      <c r="E44" s="18"/>
      <c r="F44" s="18"/>
      <c r="G44" s="18"/>
      <c r="H44" s="18"/>
    </row>
    <row r="45" spans="1:9" x14ac:dyDescent="0.85">
      <c r="B45" s="18"/>
      <c r="C45" s="18"/>
      <c r="D45" s="18"/>
      <c r="E45" s="18"/>
      <c r="F45" s="18"/>
      <c r="G45" s="18"/>
      <c r="H45" s="18"/>
    </row>
    <row r="46" spans="1:9" x14ac:dyDescent="0.85">
      <c r="B46" s="18"/>
      <c r="C46" s="18"/>
      <c r="D46" s="18"/>
      <c r="E46" s="18"/>
      <c r="F46" s="18"/>
      <c r="G46" s="18"/>
      <c r="H46" s="18"/>
    </row>
    <row r="47" spans="1:9" x14ac:dyDescent="0.85">
      <c r="B47" s="18"/>
      <c r="C47" s="18"/>
      <c r="D47" s="18"/>
      <c r="E47" s="18"/>
      <c r="F47" s="18"/>
      <c r="G47" s="18"/>
      <c r="H47" s="18"/>
    </row>
    <row r="48" spans="1:9" x14ac:dyDescent="0.85">
      <c r="B48" s="18"/>
      <c r="C48" s="18"/>
      <c r="D48" s="18"/>
      <c r="E48" s="18"/>
      <c r="F48" s="18"/>
      <c r="G48" s="18"/>
      <c r="H48" s="18"/>
    </row>
    <row r="49" spans="2:8" x14ac:dyDescent="0.85">
      <c r="B49" s="18"/>
      <c r="C49" s="18"/>
      <c r="D49" s="18"/>
      <c r="E49" s="18"/>
      <c r="F49" s="18"/>
      <c r="G49" s="18"/>
      <c r="H49" s="18"/>
    </row>
    <row r="50" spans="2:8" x14ac:dyDescent="0.85">
      <c r="B50" s="18"/>
      <c r="C50" s="18"/>
      <c r="D50" s="18"/>
      <c r="E50" s="18"/>
      <c r="F50" s="18"/>
      <c r="G50" s="18"/>
      <c r="H50" s="18"/>
    </row>
    <row r="51" spans="2:8" x14ac:dyDescent="0.85">
      <c r="B51" s="18"/>
      <c r="C51" s="18"/>
      <c r="D51" s="18"/>
      <c r="E51" s="18"/>
      <c r="F51" s="18"/>
      <c r="G51" s="18"/>
      <c r="H51" s="18"/>
    </row>
  </sheetData>
  <sortState xmlns:xlrd2="http://schemas.microsoft.com/office/spreadsheetml/2017/richdata2" ref="A14:I43">
    <sortCondition ref="A14:A4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2024-05-31T06:22:04Z</dcterms:modified>
</cp:coreProperties>
</file>